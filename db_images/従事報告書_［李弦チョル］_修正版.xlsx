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eoncheol/Documents/課外活動/関西テック/従事報告書/"/>
    </mc:Choice>
  </mc:AlternateContent>
  <xr:revisionPtr revIDLastSave="0" documentId="13_ncr:1_{AA350ED5-9B0A-2A4B-B628-39E6117F35B1}" xr6:coauthVersionLast="47" xr6:coauthVersionMax="47" xr10:uidLastSave="{00000000-0000-0000-0000-000000000000}"/>
  <bookViews>
    <workbookView xWindow="9800" yWindow="1680" windowWidth="19080" windowHeight="13900" firstSheet="1" activeTab="1" xr2:uid="{9C4BC0A6-4559-4CAC-9688-0F71846CBE6D}"/>
  </bookViews>
  <sheets>
    <sheet name="活動日報（記載例）" sheetId="1" r:id="rId1"/>
    <sheet name="総括表_水色のセルを入力" sheetId="2" r:id="rId2"/>
    <sheet name="８月" sheetId="22" r:id="rId3"/>
    <sheet name="9月" sheetId="13" r:id="rId4"/>
    <sheet name="10月" sheetId="18" r:id="rId5"/>
    <sheet name="11月" sheetId="19" r:id="rId6"/>
    <sheet name="12月" sheetId="20" r:id="rId7"/>
    <sheet name="1月" sheetId="21" r:id="rId8"/>
  </sheets>
  <definedNames>
    <definedName name="_xlnm.Print_Area" localSheetId="4">'10月'!$A$1:$N$37</definedName>
    <definedName name="_xlnm.Print_Area" localSheetId="5">'11月'!$A$1:$N$37</definedName>
    <definedName name="_xlnm.Print_Area" localSheetId="6">'12月'!$A$1:$N$37</definedName>
    <definedName name="_xlnm.Print_Area" localSheetId="7">'1月'!$A$1:$N$37</definedName>
    <definedName name="_xlnm.Print_Area" localSheetId="2">'８月'!$A$1:$N$37</definedName>
    <definedName name="_xlnm.Print_Area" localSheetId="3">'9月'!$A$1:$N$37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2" l="1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37" i="22" s="1"/>
  <c r="N37" i="22" s="1"/>
  <c r="A7" i="22"/>
  <c r="A8" i="22" s="1"/>
  <c r="J2" i="22"/>
  <c r="D2" i="22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37" i="21" s="1"/>
  <c r="N37" i="21" s="1"/>
  <c r="A6" i="21"/>
  <c r="B6" i="21" s="1"/>
  <c r="J2" i="21"/>
  <c r="D2" i="21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A6" i="20"/>
  <c r="A7" i="20" s="1"/>
  <c r="J2" i="20"/>
  <c r="D2" i="20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A6" i="19"/>
  <c r="A7" i="19" s="1"/>
  <c r="J2" i="19"/>
  <c r="D2" i="19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A6" i="18"/>
  <c r="B6" i="18" s="1"/>
  <c r="J2" i="18"/>
  <c r="D2" i="18"/>
  <c r="J2" i="13"/>
  <c r="D2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A6" i="13"/>
  <c r="A7" i="13" s="1"/>
  <c r="B7" i="2" a="1"/>
  <c r="G7" i="2" a="1"/>
  <c r="H37" i="19" l="1"/>
  <c r="N37" i="19" s="1"/>
  <c r="E7" i="2" s="1" a="1"/>
  <c r="E7" i="2" s="1"/>
  <c r="A9" i="22"/>
  <c r="B8" i="22"/>
  <c r="B7" i="22"/>
  <c r="B6" i="22"/>
  <c r="B7" i="2"/>
  <c r="H37" i="20"/>
  <c r="N37" i="20" s="1"/>
  <c r="H37" i="18"/>
  <c r="N37" i="18" s="1"/>
  <c r="G7" i="2"/>
  <c r="A7" i="21"/>
  <c r="A8" i="20"/>
  <c r="B7" i="20"/>
  <c r="B6" i="20"/>
  <c r="A8" i="19"/>
  <c r="B7" i="19"/>
  <c r="B6" i="19"/>
  <c r="A7" i="18"/>
  <c r="H37" i="13"/>
  <c r="N37" i="13" s="1"/>
  <c r="A8" i="13"/>
  <c r="B7" i="13"/>
  <c r="B6" i="13"/>
  <c r="C7" i="2" a="1"/>
  <c r="D7" i="2" a="1"/>
  <c r="F7" i="2" a="1"/>
  <c r="B8" i="2" l="1"/>
  <c r="A10" i="22"/>
  <c r="B9" i="22"/>
  <c r="F7" i="2"/>
  <c r="C7" i="2"/>
  <c r="C8" i="2" s="1"/>
  <c r="D7" i="2"/>
  <c r="D8" i="2" s="1"/>
  <c r="A8" i="21"/>
  <c r="B7" i="21"/>
  <c r="A9" i="20"/>
  <c r="B8" i="20"/>
  <c r="A9" i="19"/>
  <c r="B8" i="19"/>
  <c r="B7" i="18"/>
  <c r="A8" i="18"/>
  <c r="A9" i="13"/>
  <c r="B8" i="13"/>
  <c r="H7" i="2" l="1"/>
  <c r="A11" i="22"/>
  <c r="B10" i="22"/>
  <c r="B8" i="21"/>
  <c r="A9" i="21"/>
  <c r="A10" i="20"/>
  <c r="B9" i="20"/>
  <c r="A10" i="19"/>
  <c r="B9" i="19"/>
  <c r="B8" i="18"/>
  <c r="A9" i="18"/>
  <c r="A10" i="13"/>
  <c r="B9" i="13"/>
  <c r="A12" i="22" l="1"/>
  <c r="B11" i="22"/>
  <c r="A10" i="21"/>
  <c r="B9" i="21"/>
  <c r="B10" i="20"/>
  <c r="A11" i="20"/>
  <c r="B10" i="19"/>
  <c r="A11" i="19"/>
  <c r="A10" i="18"/>
  <c r="B9" i="18"/>
  <c r="B10" i="13"/>
  <c r="A11" i="13"/>
  <c r="A13" i="22" l="1"/>
  <c r="B12" i="22"/>
  <c r="B10" i="21"/>
  <c r="A11" i="21"/>
  <c r="A12" i="20"/>
  <c r="B11" i="20"/>
  <c r="A12" i="19"/>
  <c r="B11" i="19"/>
  <c r="B10" i="18"/>
  <c r="A11" i="18"/>
  <c r="A12" i="13"/>
  <c r="B11" i="13"/>
  <c r="A14" i="22" l="1"/>
  <c r="B13" i="22"/>
  <c r="B11" i="21"/>
  <c r="A12" i="21"/>
  <c r="A13" i="20"/>
  <c r="B12" i="20"/>
  <c r="A13" i="19"/>
  <c r="B12" i="19"/>
  <c r="B11" i="18"/>
  <c r="A12" i="18"/>
  <c r="B12" i="13"/>
  <c r="A13" i="13"/>
  <c r="A15" i="22" l="1"/>
  <c r="B14" i="22"/>
  <c r="A13" i="21"/>
  <c r="B12" i="21"/>
  <c r="A14" i="20"/>
  <c r="B13" i="20"/>
  <c r="A14" i="19"/>
  <c r="B13" i="19"/>
  <c r="B12" i="18"/>
  <c r="A13" i="18"/>
  <c r="A14" i="13"/>
  <c r="B13" i="13"/>
  <c r="A16" i="22" l="1"/>
  <c r="B15" i="22"/>
  <c r="B13" i="21"/>
  <c r="A14" i="21"/>
  <c r="A15" i="20"/>
  <c r="B14" i="20"/>
  <c r="A15" i="19"/>
  <c r="B14" i="19"/>
  <c r="B13" i="18"/>
  <c r="A14" i="18"/>
  <c r="A15" i="13"/>
  <c r="B14" i="13"/>
  <c r="B16" i="22" l="1"/>
  <c r="A15" i="21"/>
  <c r="B14" i="21"/>
  <c r="A16" i="20"/>
  <c r="B15" i="20"/>
  <c r="A16" i="19"/>
  <c r="B15" i="19"/>
  <c r="A15" i="18"/>
  <c r="B14" i="18"/>
  <c r="A16" i="13"/>
  <c r="B15" i="13"/>
  <c r="A16" i="21" l="1"/>
  <c r="B15" i="21"/>
  <c r="B16" i="20"/>
  <c r="A17" i="20"/>
  <c r="B16" i="19"/>
  <c r="A17" i="19"/>
  <c r="A16" i="18"/>
  <c r="B15" i="18"/>
  <c r="B16" i="13"/>
  <c r="A17" i="13"/>
  <c r="A17" i="21" l="1"/>
  <c r="B16" i="21"/>
  <c r="A18" i="20"/>
  <c r="B17" i="20"/>
  <c r="A18" i="19"/>
  <c r="B17" i="19"/>
  <c r="B16" i="18"/>
  <c r="A17" i="18"/>
  <c r="B17" i="13"/>
  <c r="A18" i="13"/>
  <c r="A18" i="21" l="1"/>
  <c r="B17" i="21"/>
  <c r="A19" i="20"/>
  <c r="B18" i="20"/>
  <c r="A19" i="19"/>
  <c r="B18" i="19"/>
  <c r="B17" i="18"/>
  <c r="A18" i="18"/>
  <c r="A19" i="13"/>
  <c r="B18" i="13"/>
  <c r="A19" i="21" l="1"/>
  <c r="B18" i="21"/>
  <c r="A20" i="20"/>
  <c r="B19" i="20"/>
  <c r="A20" i="19"/>
  <c r="B19" i="19"/>
  <c r="B18" i="18"/>
  <c r="A19" i="18"/>
  <c r="A20" i="13"/>
  <c r="B19" i="13"/>
  <c r="B19" i="21" l="1"/>
  <c r="A20" i="21"/>
  <c r="A21" i="20"/>
  <c r="B20" i="20"/>
  <c r="A21" i="19"/>
  <c r="B20" i="19"/>
  <c r="A20" i="18"/>
  <c r="B19" i="18"/>
  <c r="A21" i="13"/>
  <c r="B20" i="13"/>
  <c r="A21" i="21" l="1"/>
  <c r="B20" i="21"/>
  <c r="B21" i="20"/>
  <c r="A22" i="20"/>
  <c r="B21" i="19"/>
  <c r="A22" i="19"/>
  <c r="A21" i="18"/>
  <c r="B20" i="18"/>
  <c r="B21" i="13"/>
  <c r="A22" i="13"/>
  <c r="B21" i="21" l="1"/>
  <c r="A22" i="21"/>
  <c r="A23" i="20"/>
  <c r="B22" i="20"/>
  <c r="A23" i="19"/>
  <c r="B22" i="19"/>
  <c r="B21" i="18"/>
  <c r="A22" i="18"/>
  <c r="A23" i="13"/>
  <c r="B22" i="13"/>
  <c r="A23" i="21" l="1"/>
  <c r="B22" i="21"/>
  <c r="A24" i="20"/>
  <c r="B23" i="20"/>
  <c r="A24" i="19"/>
  <c r="B23" i="19"/>
  <c r="A23" i="18"/>
  <c r="B22" i="18"/>
  <c r="A24" i="13"/>
  <c r="B23" i="13"/>
  <c r="B23" i="21" l="1"/>
  <c r="A24" i="21"/>
  <c r="A25" i="20"/>
  <c r="B24" i="20"/>
  <c r="A25" i="19"/>
  <c r="B24" i="19"/>
  <c r="B23" i="18"/>
  <c r="A24" i="18"/>
  <c r="A25" i="13"/>
  <c r="B24" i="13"/>
  <c r="A25" i="21" l="1"/>
  <c r="B24" i="21"/>
  <c r="B25" i="20"/>
  <c r="A26" i="20"/>
  <c r="A26" i="19"/>
  <c r="B25" i="19"/>
  <c r="A25" i="18"/>
  <c r="B24" i="18"/>
  <c r="A26" i="13"/>
  <c r="B25" i="13"/>
  <c r="A26" i="21" l="1"/>
  <c r="B25" i="21"/>
  <c r="A27" i="20"/>
  <c r="B26" i="20"/>
  <c r="B26" i="19"/>
  <c r="A27" i="19"/>
  <c r="A26" i="18"/>
  <c r="B25" i="18"/>
  <c r="B26" i="13"/>
  <c r="A27" i="13"/>
  <c r="B26" i="21" l="1"/>
  <c r="A27" i="21"/>
  <c r="A28" i="20"/>
  <c r="B27" i="20"/>
  <c r="A28" i="19"/>
  <c r="B27" i="19"/>
  <c r="B26" i="18"/>
  <c r="A27" i="18"/>
  <c r="A28" i="13"/>
  <c r="B27" i="13"/>
  <c r="A28" i="21" l="1"/>
  <c r="B27" i="21"/>
  <c r="A29" i="20"/>
  <c r="B28" i="20"/>
  <c r="A29" i="19"/>
  <c r="B28" i="19"/>
  <c r="A28" i="18"/>
  <c r="B27" i="18"/>
  <c r="A29" i="13"/>
  <c r="B28" i="13"/>
  <c r="B28" i="21" l="1"/>
  <c r="A30" i="20"/>
  <c r="B29" i="20"/>
  <c r="A30" i="19"/>
  <c r="B29" i="19"/>
  <c r="A29" i="18"/>
  <c r="B28" i="18"/>
  <c r="A30" i="13"/>
  <c r="B29" i="13"/>
  <c r="A31" i="20" l="1"/>
  <c r="B30" i="20"/>
  <c r="A31" i="19"/>
  <c r="B30" i="19"/>
  <c r="A30" i="18"/>
  <c r="B29" i="18"/>
  <c r="A31" i="13"/>
  <c r="B30" i="13"/>
  <c r="A32" i="20" l="1"/>
  <c r="B31" i="20"/>
  <c r="A32" i="19"/>
  <c r="B31" i="19"/>
  <c r="A31" i="18"/>
  <c r="B30" i="18"/>
  <c r="A32" i="13"/>
  <c r="B31" i="13"/>
  <c r="A33" i="20" l="1"/>
  <c r="B32" i="20"/>
  <c r="B32" i="19"/>
  <c r="A33" i="19"/>
  <c r="A32" i="18"/>
  <c r="B31" i="18"/>
  <c r="B32" i="13"/>
  <c r="A33" i="13"/>
  <c r="A36" i="20" l="1"/>
  <c r="B36" i="20" s="1"/>
  <c r="A35" i="20"/>
  <c r="B35" i="20" s="1"/>
  <c r="A34" i="20"/>
  <c r="B34" i="20" s="1"/>
  <c r="B33" i="20"/>
  <c r="A36" i="19"/>
  <c r="B36" i="19" s="1"/>
  <c r="A35" i="19"/>
  <c r="B35" i="19" s="1"/>
  <c r="A34" i="19"/>
  <c r="B34" i="19" s="1"/>
  <c r="B33" i="19"/>
  <c r="A33" i="18"/>
  <c r="B32" i="18"/>
  <c r="A36" i="13"/>
  <c r="B36" i="13" s="1"/>
  <c r="B33" i="13"/>
  <c r="A35" i="13"/>
  <c r="B35" i="13" s="1"/>
  <c r="A34" i="13"/>
  <c r="B34" i="13" s="1"/>
  <c r="B33" i="18" l="1"/>
  <c r="A36" i="18"/>
  <c r="B36" i="18" s="1"/>
  <c r="A35" i="18"/>
  <c r="B35" i="18" s="1"/>
  <c r="A34" i="18"/>
  <c r="B34" i="18" s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A6" i="1"/>
  <c r="H37" i="1" l="1"/>
  <c r="N37" i="1" s="1"/>
  <c r="A7" i="1"/>
  <c r="B6" i="1"/>
  <c r="G8" i="2" l="1"/>
  <c r="F8" i="2"/>
  <c r="E8" i="2"/>
  <c r="A8" i="1"/>
  <c r="B7" i="1"/>
  <c r="H8" i="2" l="1"/>
  <c r="A9" i="1"/>
  <c r="B8" i="1"/>
  <c r="B9" i="1" l="1"/>
  <c r="A10" i="1"/>
  <c r="A11" i="1" l="1"/>
  <c r="B10" i="1"/>
  <c r="A12" i="1" l="1"/>
  <c r="B11" i="1"/>
  <c r="A13" i="1" l="1"/>
  <c r="B12" i="1"/>
  <c r="B13" i="1" l="1"/>
  <c r="A14" i="1"/>
  <c r="A15" i="1" l="1"/>
  <c r="B14" i="1"/>
  <c r="A16" i="1" l="1"/>
  <c r="B15" i="1"/>
  <c r="A17" i="1" l="1"/>
  <c r="B16" i="1"/>
  <c r="B17" i="1" l="1"/>
  <c r="A18" i="1"/>
  <c r="A19" i="1" l="1"/>
  <c r="B18" i="1"/>
  <c r="A20" i="1" l="1"/>
  <c r="B19" i="1"/>
  <c r="A21" i="1" l="1"/>
  <c r="B20" i="1"/>
  <c r="B21" i="1" l="1"/>
  <c r="A22" i="1"/>
  <c r="A23" i="1" l="1"/>
  <c r="B22" i="1"/>
  <c r="A24" i="1" l="1"/>
  <c r="B23" i="1"/>
  <c r="A25" i="1" l="1"/>
  <c r="B24" i="1"/>
  <c r="B25" i="1" l="1"/>
  <c r="A26" i="1"/>
  <c r="A27" i="1" l="1"/>
  <c r="B26" i="1"/>
  <c r="A28" i="1" l="1"/>
  <c r="B27" i="1"/>
  <c r="A29" i="1" l="1"/>
  <c r="B28" i="1"/>
  <c r="B29" i="1" l="1"/>
  <c r="A30" i="1"/>
  <c r="A31" i="1" l="1"/>
  <c r="B30" i="1"/>
  <c r="A32" i="1" l="1"/>
  <c r="B31" i="1"/>
  <c r="A33" i="1" l="1"/>
  <c r="B32" i="1"/>
  <c r="B33" i="1" l="1"/>
  <c r="A36" i="1"/>
  <c r="B36" i="1" s="1"/>
  <c r="A35" i="1"/>
  <c r="B35" i="1" s="1"/>
  <c r="A34" i="1"/>
  <c r="B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<sst xmlns="http://schemas.openxmlformats.org/spreadsheetml/2006/main" count="170" uniqueCount="71">
  <si>
    <t>日</t>
    <rPh sb="0" eb="1">
      <t>ニチ</t>
    </rPh>
    <phoneticPr fontId="4"/>
  </si>
  <si>
    <t>曜日</t>
    <rPh sb="0" eb="2">
      <t>ヨウビ</t>
    </rPh>
    <phoneticPr fontId="4"/>
  </si>
  <si>
    <t>作業時間帯(24時間制で時刻入力)</t>
    <rPh sb="0" eb="2">
      <t>サギョウ</t>
    </rPh>
    <rPh sb="2" eb="4">
      <t>ジカン</t>
    </rPh>
    <rPh sb="4" eb="5">
      <t>タイ</t>
    </rPh>
    <rPh sb="8" eb="11">
      <t>ジカンセイ</t>
    </rPh>
    <rPh sb="12" eb="14">
      <t>ジコク</t>
    </rPh>
    <rPh sb="14" eb="16">
      <t>ニュウリョク</t>
    </rPh>
    <phoneticPr fontId="4"/>
  </si>
  <si>
    <t>除外する時間数</t>
    <rPh sb="0" eb="2">
      <t>ジョガイ</t>
    </rPh>
    <rPh sb="4" eb="7">
      <t>ジカンスウ</t>
    </rPh>
    <phoneticPr fontId="4"/>
  </si>
  <si>
    <t>作業
時間数</t>
    <rPh sb="0" eb="2">
      <t>サギョウ</t>
    </rPh>
    <rPh sb="3" eb="6">
      <t>ジカンスウ</t>
    </rPh>
    <phoneticPr fontId="4"/>
  </si>
  <si>
    <t>具体的な作業内容</t>
    <phoneticPr fontId="4"/>
  </si>
  <si>
    <t>開始時刻</t>
    <rPh sb="0" eb="2">
      <t>カイシ</t>
    </rPh>
    <rPh sb="2" eb="4">
      <t>ジコク</t>
    </rPh>
    <phoneticPr fontId="4"/>
  </si>
  <si>
    <t>終了時刻</t>
    <rPh sb="0" eb="2">
      <t>シュウリョウ</t>
    </rPh>
    <rPh sb="2" eb="4">
      <t>ジコク</t>
    </rPh>
    <phoneticPr fontId="4"/>
  </si>
  <si>
    <t>合計</t>
    <rPh sb="0" eb="2">
      <t>ゴウケイ</t>
    </rPh>
    <phoneticPr fontId="4"/>
  </si>
  <si>
    <t>数値表示に変換した時間数</t>
    <rPh sb="0" eb="2">
      <t>スウチ</t>
    </rPh>
    <rPh sb="2" eb="4">
      <t>ヒョウジ</t>
    </rPh>
    <rPh sb="5" eb="7">
      <t>ヘンカン</t>
    </rPh>
    <rPh sb="9" eb="12">
      <t>ジカンスウ</t>
    </rPh>
    <phoneticPr fontId="4"/>
  </si>
  <si>
    <t>事業年度</t>
    <rPh sb="0" eb="2">
      <t>ジギョウ</t>
    </rPh>
    <rPh sb="2" eb="4">
      <t>ネンド</t>
    </rPh>
    <phoneticPr fontId="4"/>
  </si>
  <si>
    <t>西暦</t>
  </si>
  <si>
    <t>年度</t>
    <rPh sb="0" eb="2">
      <t>ネンド</t>
    </rPh>
    <phoneticPr fontId="4"/>
  </si>
  <si>
    <t>氏名</t>
    <rPh sb="0" eb="2">
      <t>シメイ</t>
    </rPh>
    <phoneticPr fontId="4"/>
  </si>
  <si>
    <t>9月</t>
  </si>
  <si>
    <t>10月</t>
  </si>
  <si>
    <t>11月</t>
  </si>
  <si>
    <t>12月</t>
  </si>
  <si>
    <t>1月</t>
  </si>
  <si>
    <t>時間数</t>
    <rPh sb="0" eb="3">
      <t>ジカンスウ</t>
    </rPh>
    <phoneticPr fontId="4"/>
  </si>
  <si>
    <t>金額</t>
    <rPh sb="0" eb="2">
      <t>キンガク</t>
    </rPh>
    <phoneticPr fontId="4"/>
  </si>
  <si>
    <t>謝金単価</t>
    <rPh sb="0" eb="4">
      <t>シャキンタンカ</t>
    </rPh>
    <phoneticPr fontId="4"/>
  </si>
  <si>
    <t>プロジェクト代表者</t>
    <rPh sb="6" eb="9">
      <t>ダイヒョウシャ</t>
    </rPh>
    <phoneticPr fontId="4"/>
  </si>
  <si>
    <t>プロジェクト代表者名：</t>
    <rPh sb="6" eb="10">
      <t>ダイヒョウシャメイ</t>
    </rPh>
    <phoneticPr fontId="4"/>
  </si>
  <si>
    <t>PM：</t>
    <phoneticPr fontId="4"/>
  </si>
  <si>
    <t>活動日報</t>
    <rPh sb="0" eb="2">
      <t>カツドウ</t>
    </rPh>
    <rPh sb="2" eb="4">
      <t>ニッポウ</t>
    </rPh>
    <phoneticPr fontId="4"/>
  </si>
  <si>
    <t>○○　△△</t>
    <phoneticPr fontId="3"/>
  </si>
  <si>
    <t>●●　▲▲</t>
    <phoneticPr fontId="3"/>
  </si>
  <si>
    <t>○○について□□にヒアリング</t>
  </si>
  <si>
    <t>PMメンタリング</t>
  </si>
  <si>
    <t>○○組立て及び、■■資料作成</t>
    <rPh sb="2" eb="4">
      <t>クミタ</t>
    </rPh>
    <rPh sb="5" eb="6">
      <t>オヨ</t>
    </rPh>
    <rPh sb="10" eb="12">
      <t>シリョウ</t>
    </rPh>
    <rPh sb="12" eb="14">
      <t>サクセイ</t>
    </rPh>
    <phoneticPr fontId="4"/>
  </si>
  <si>
    <t>○○開発、▲▲を●●するための動作テスト</t>
    <rPh sb="2" eb="4">
      <t>カイハツ</t>
    </rPh>
    <rPh sb="15" eb="17">
      <t>ドウサ</t>
    </rPh>
    <phoneticPr fontId="4"/>
  </si>
  <si>
    <t>○○実験</t>
    <rPh sb="2" eb="4">
      <t>ジッケン</t>
    </rPh>
    <phoneticPr fontId="4"/>
  </si>
  <si>
    <t>○○開発、▲▲動作テスト</t>
    <rPh sb="2" eb="4">
      <t>カイハツ</t>
    </rPh>
    <rPh sb="7" eb="9">
      <t>ドウサ</t>
    </rPh>
    <phoneticPr fontId="4"/>
  </si>
  <si>
    <t>8月</t>
    <rPh sb="1" eb="2">
      <t>ガツ</t>
    </rPh>
    <phoneticPr fontId="3"/>
  </si>
  <si>
    <t>担当PM</t>
    <rPh sb="0" eb="2">
      <t>タントウ</t>
    </rPh>
    <phoneticPr fontId="3"/>
  </si>
  <si>
    <t>2025年8月分</t>
    <rPh sb="4" eb="5">
      <t>ネン</t>
    </rPh>
    <rPh sb="6" eb="8">
      <t>ガツブン</t>
    </rPh>
    <phoneticPr fontId="3"/>
  </si>
  <si>
    <t>2025年9月分</t>
    <rPh sb="4" eb="5">
      <t>ネン</t>
    </rPh>
    <rPh sb="6" eb="8">
      <t>ガツブン</t>
    </rPh>
    <phoneticPr fontId="3"/>
  </si>
  <si>
    <t>2025年10月分</t>
    <rPh sb="4" eb="5">
      <t>ネン</t>
    </rPh>
    <rPh sb="7" eb="9">
      <t>ガツブン</t>
    </rPh>
    <phoneticPr fontId="3"/>
  </si>
  <si>
    <t>2025年11月分</t>
    <rPh sb="4" eb="5">
      <t>ネン</t>
    </rPh>
    <rPh sb="7" eb="9">
      <t>ガツブン</t>
    </rPh>
    <phoneticPr fontId="3"/>
  </si>
  <si>
    <t>2025年12月分</t>
    <rPh sb="4" eb="5">
      <t>ネン</t>
    </rPh>
    <rPh sb="7" eb="9">
      <t>ガツブン</t>
    </rPh>
    <phoneticPr fontId="3"/>
  </si>
  <si>
    <t>2026年1月分</t>
    <rPh sb="4" eb="5">
      <t>ネン</t>
    </rPh>
    <rPh sb="6" eb="8">
      <t>ガツブン</t>
    </rPh>
    <phoneticPr fontId="3"/>
  </si>
  <si>
    <t>円　税込</t>
    <rPh sb="0" eb="1">
      <t>エン</t>
    </rPh>
    <rPh sb="2" eb="4">
      <t>ゼイコミ</t>
    </rPh>
    <phoneticPr fontId="4"/>
  </si>
  <si>
    <t>李弦チョル</t>
    <phoneticPr fontId="3"/>
  </si>
  <si>
    <t>谷口 英</t>
    <phoneticPr fontId="3"/>
  </si>
  <si>
    <t>初回PMとのミーティングに向けた資料作成</t>
    <rPh sb="0" eb="2">
      <t>ショカイ</t>
    </rPh>
    <rPh sb="16" eb="20">
      <t>シリョウ</t>
    </rPh>
    <phoneticPr fontId="3"/>
  </si>
  <si>
    <t>事業計画書プロトタイプ</t>
    <rPh sb="0" eb="5">
      <t>ジギョウケイク</t>
    </rPh>
    <phoneticPr fontId="3"/>
  </si>
  <si>
    <t>PMとのMTGに向けた準備</t>
    <rPh sb="8" eb="9">
      <t>ムケ</t>
    </rPh>
    <rPh sb="11" eb="13">
      <t>ジュn</t>
    </rPh>
    <phoneticPr fontId="3"/>
  </si>
  <si>
    <t>初回ピッチに向けた資料作成、PMとのMTGに向けた準備</t>
    <rPh sb="0" eb="2">
      <t>ショカイ</t>
    </rPh>
    <rPh sb="6" eb="7">
      <t>ムケ</t>
    </rPh>
    <rPh sb="9" eb="13">
      <t>シリョウ</t>
    </rPh>
    <rPh sb="22" eb="23">
      <t>ムケ</t>
    </rPh>
    <rPh sb="25" eb="27">
      <t>ジュn</t>
    </rPh>
    <phoneticPr fontId="3"/>
  </si>
  <si>
    <t>初回ピッチに向けた資料作成</t>
    <rPh sb="0" eb="2">
      <t>ショカイ</t>
    </rPh>
    <rPh sb="6" eb="7">
      <t>ムケ</t>
    </rPh>
    <rPh sb="9" eb="13">
      <t>シリョウ</t>
    </rPh>
    <phoneticPr fontId="3"/>
  </si>
  <si>
    <t>初回ピッチ原稿作成、発表練習</t>
    <rPh sb="0" eb="2">
      <t>ショカイ</t>
    </rPh>
    <rPh sb="10" eb="14">
      <t>ハッピョウレ</t>
    </rPh>
    <phoneticPr fontId="3"/>
  </si>
  <si>
    <t>PMとのMTGに向けた準備,PMとのMTG</t>
    <rPh sb="8" eb="9">
      <t>ムケ</t>
    </rPh>
    <rPh sb="11" eb="13">
      <t>ジュn</t>
    </rPh>
    <phoneticPr fontId="3"/>
  </si>
  <si>
    <t>9月分進捗報告書作成</t>
    <rPh sb="1" eb="3">
      <t>ガテゥ</t>
    </rPh>
    <rPh sb="3" eb="10">
      <t>シンティオ</t>
    </rPh>
    <phoneticPr fontId="3"/>
  </si>
  <si>
    <t>全体タスク確認書類作成、SBTテスト発行、コントラクト開発</t>
    <rPh sb="0" eb="2">
      <t>ゼンタイ</t>
    </rPh>
    <rPh sb="5" eb="7">
      <t>カクニn</t>
    </rPh>
    <rPh sb="7" eb="11">
      <t>sy</t>
    </rPh>
    <rPh sb="18" eb="20">
      <t>ハッコウ</t>
    </rPh>
    <rPh sb="27" eb="29">
      <t>カイハテゥ</t>
    </rPh>
    <phoneticPr fontId="3"/>
  </si>
  <si>
    <t>SBT発行など開発</t>
    <rPh sb="3" eb="5">
      <t>ハッコウ</t>
    </rPh>
    <rPh sb="7" eb="9">
      <t>カイハテゥ</t>
    </rPh>
    <phoneticPr fontId="3"/>
  </si>
  <si>
    <t>IPFS開発</t>
    <rPh sb="4" eb="6">
      <t>カイハテゥ</t>
    </rPh>
    <phoneticPr fontId="3"/>
  </si>
  <si>
    <t>集団メンタリング資料作成、IPFSにアップロード</t>
    <rPh sb="0" eb="2">
      <t>シュウダn</t>
    </rPh>
    <rPh sb="8" eb="12">
      <t>シリョウサクセイ</t>
    </rPh>
    <phoneticPr fontId="3"/>
  </si>
  <si>
    <t>PMとのMTG, Sepoliaテストネット接続</t>
    <phoneticPr fontId="3"/>
  </si>
  <si>
    <t>PMとのMTG, Arwave接続</t>
    <rPh sb="15" eb="17">
      <t>セツゾク</t>
    </rPh>
    <phoneticPr fontId="3"/>
  </si>
  <si>
    <t>Arweave接続</t>
    <rPh sb="7" eb="9">
      <t>セツゾク</t>
    </rPh>
    <phoneticPr fontId="3"/>
  </si>
  <si>
    <t>発表資料作成</t>
    <rPh sb="0" eb="6">
      <t>ハッピョウ</t>
    </rPh>
    <phoneticPr fontId="3"/>
  </si>
  <si>
    <t>株式会社Netujoの面談準備、面談、開発</t>
    <rPh sb="0" eb="4">
      <t>カブ</t>
    </rPh>
    <rPh sb="11" eb="13">
      <t>メンダn</t>
    </rPh>
    <rPh sb="13" eb="15">
      <t>ジュn</t>
    </rPh>
    <rPh sb="16" eb="18">
      <t>メンダn</t>
    </rPh>
    <rPh sb="19" eb="21">
      <t>カイハテゥ</t>
    </rPh>
    <phoneticPr fontId="3"/>
  </si>
  <si>
    <t>ワンクリックデモの開発、集団メンタリングに向けたアイデア整理</t>
    <rPh sb="9" eb="11">
      <t>カイハテゥ</t>
    </rPh>
    <rPh sb="12" eb="14">
      <t>シュウダn</t>
    </rPh>
    <rPh sb="28" eb="30">
      <t>セイ</t>
    </rPh>
    <phoneticPr fontId="3"/>
  </si>
  <si>
    <t>PMとのMTG, 集団メンタリング準備</t>
    <rPh sb="9" eb="11">
      <t>シュウダn</t>
    </rPh>
    <rPh sb="17" eb="19">
      <t>ジュンビ</t>
    </rPh>
    <phoneticPr fontId="3"/>
  </si>
  <si>
    <t>Arweave連携</t>
    <rPh sb="7" eb="9">
      <t>レンケイ</t>
    </rPh>
    <phoneticPr fontId="3"/>
  </si>
  <si>
    <t>集団メンタリング準備</t>
    <rPh sb="0" eb="2">
      <t>シュウダn</t>
    </rPh>
    <rPh sb="8" eb="10">
      <t>ジュn</t>
    </rPh>
    <phoneticPr fontId="3"/>
  </si>
  <si>
    <t>新規開発に向けた準備</t>
    <rPh sb="0" eb="2">
      <t>シンキ</t>
    </rPh>
    <rPh sb="2" eb="4">
      <t>カイハテゥ</t>
    </rPh>
    <rPh sb="8" eb="10">
      <t>ジュn</t>
    </rPh>
    <phoneticPr fontId="3"/>
  </si>
  <si>
    <t>PMとのMTG, 新規事業提案、JPYC調査</t>
    <rPh sb="9" eb="11">
      <t>シンキ</t>
    </rPh>
    <rPh sb="11" eb="15">
      <t>ジギョウ</t>
    </rPh>
    <rPh sb="20" eb="22">
      <t>チョウ</t>
    </rPh>
    <phoneticPr fontId="3"/>
  </si>
  <si>
    <t>ERC20のトークン発行</t>
    <phoneticPr fontId="3"/>
  </si>
  <si>
    <t>Sepolia、Hardhat v3 環境構築</t>
    <rPh sb="19" eb="23">
      <t>カンキョウ</t>
    </rPh>
    <phoneticPr fontId="3"/>
  </si>
  <si>
    <t>JPYCの法的課題などの調査</t>
    <rPh sb="5" eb="9">
      <t>ホウテキ</t>
    </rPh>
    <rPh sb="12" eb="14">
      <t>チョウ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</si>
</sst>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"/>
    <numFmt numFmtId="177" formatCode="[h]:mm"/>
    <numFmt numFmtId="178" formatCode="0.00_ "/>
    <numFmt numFmtId="179" formatCode="#"/>
  </numFmts>
  <fonts count="1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9"/>
      <color indexed="12"/>
      <name val="Meiryo UI"/>
      <family val="3"/>
      <charset val="128"/>
    </font>
    <font>
      <sz val="9"/>
      <color indexed="10"/>
      <name val="Meiryo UI"/>
      <family val="3"/>
      <charset val="128"/>
    </font>
    <font>
      <sz val="8"/>
      <color indexed="12"/>
      <name val="Meiryo UI"/>
      <family val="3"/>
      <charset val="128"/>
    </font>
    <font>
      <sz val="8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9"/>
      <color indexed="10"/>
      <name val="Meiryo UI"/>
      <family val="3"/>
      <charset val="128"/>
    </font>
    <font>
      <sz val="11"/>
      <name val="ＭＳ Ｐゴシック"/>
      <family val="3"/>
      <charset val="128"/>
    </font>
    <font>
      <b/>
      <sz val="1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6" fillId="0" borderId="0"/>
    <xf numFmtId="38" fontId="16" fillId="0" borderId="0" applyFont="0" applyFill="0" applyBorder="0" applyAlignment="0" applyProtection="0"/>
  </cellStyleXfs>
  <cellXfs count="123">
    <xf numFmtId="0" fontId="0" fillId="0" borderId="0" xfId="0">
      <alignment vertical="center"/>
    </xf>
    <xf numFmtId="49" fontId="2" fillId="2" borderId="0" xfId="0" applyNumberFormat="1" applyFont="1" applyFill="1" applyAlignment="1" applyProtection="1">
      <alignment horizontal="centerContinuous" vertical="center" shrinkToFit="1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6" fillId="2" borderId="0" xfId="0" applyNumberFormat="1" applyFont="1" applyFill="1" applyAlignment="1" applyProtection="1">
      <alignment vertical="center" shrinkToFit="1"/>
      <protection locked="0"/>
    </xf>
    <xf numFmtId="176" fontId="8" fillId="4" borderId="19" xfId="0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177" fontId="10" fillId="4" borderId="21" xfId="0" applyNumberFormat="1" applyFont="1" applyFill="1" applyBorder="1" applyAlignment="1" applyProtection="1">
      <alignment vertical="center" shrinkToFit="1"/>
      <protection locked="0"/>
    </xf>
    <xf numFmtId="177" fontId="10" fillId="4" borderId="22" xfId="0" applyNumberFormat="1" applyFont="1" applyFill="1" applyBorder="1" applyAlignment="1" applyProtection="1">
      <alignment vertical="center" shrinkToFit="1"/>
      <protection locked="0"/>
    </xf>
    <xf numFmtId="177" fontId="10" fillId="4" borderId="23" xfId="0" applyNumberFormat="1" applyFont="1" applyFill="1" applyBorder="1" applyAlignment="1" applyProtection="1">
      <alignment vertical="center" shrinkToFit="1"/>
      <protection locked="0"/>
    </xf>
    <xf numFmtId="177" fontId="10" fillId="4" borderId="24" xfId="0" applyNumberFormat="1" applyFont="1" applyFill="1" applyBorder="1" applyAlignment="1" applyProtection="1">
      <alignment vertical="center" shrinkToFit="1"/>
      <protection locked="0"/>
    </xf>
    <xf numFmtId="177" fontId="10" fillId="4" borderId="25" xfId="0" applyNumberFormat="1" applyFont="1" applyFill="1" applyBorder="1" applyAlignment="1" applyProtection="1">
      <alignment vertical="center" shrinkToFit="1"/>
      <protection locked="0"/>
    </xf>
    <xf numFmtId="177" fontId="11" fillId="5" borderId="25" xfId="0" applyNumberFormat="1" applyFont="1" applyFill="1" applyBorder="1" applyAlignment="1">
      <alignment horizontal="right" vertical="center" shrinkToFit="1"/>
    </xf>
    <xf numFmtId="176" fontId="8" fillId="0" borderId="29" xfId="0" applyNumberFormat="1" applyFont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/>
    </xf>
    <xf numFmtId="177" fontId="10" fillId="0" borderId="31" xfId="0" applyNumberFormat="1" applyFont="1" applyBorder="1" applyAlignment="1" applyProtection="1">
      <alignment vertical="center" shrinkToFit="1"/>
      <protection locked="0"/>
    </xf>
    <xf numFmtId="177" fontId="10" fillId="0" borderId="32" xfId="0" applyNumberFormat="1" applyFont="1" applyBorder="1" applyAlignment="1" applyProtection="1">
      <alignment vertical="center" shrinkToFit="1"/>
      <protection locked="0"/>
    </xf>
    <xf numFmtId="177" fontId="10" fillId="0" borderId="29" xfId="0" applyNumberFormat="1" applyFont="1" applyBorder="1" applyAlignment="1" applyProtection="1">
      <alignment vertical="center" shrinkToFit="1"/>
      <protection locked="0"/>
    </xf>
    <xf numFmtId="177" fontId="10" fillId="0" borderId="24" xfId="0" applyNumberFormat="1" applyFont="1" applyBorder="1" applyAlignment="1" applyProtection="1">
      <alignment vertical="center" shrinkToFit="1"/>
      <protection locked="0"/>
    </xf>
    <xf numFmtId="177" fontId="10" fillId="0" borderId="33" xfId="0" applyNumberFormat="1" applyFont="1" applyBorder="1" applyAlignment="1" applyProtection="1">
      <alignment vertical="center" shrinkToFit="1"/>
      <protection locked="0"/>
    </xf>
    <xf numFmtId="176" fontId="13" fillId="0" borderId="29" xfId="0" applyNumberFormat="1" applyFont="1" applyBorder="1" applyAlignment="1">
      <alignment horizontal="center" vertical="center" shrinkToFit="1"/>
    </xf>
    <xf numFmtId="177" fontId="10" fillId="0" borderId="21" xfId="0" applyNumberFormat="1" applyFont="1" applyBorder="1" applyAlignment="1" applyProtection="1">
      <alignment vertical="center" shrinkToFit="1"/>
      <protection locked="0"/>
    </xf>
    <xf numFmtId="177" fontId="10" fillId="0" borderId="22" xfId="0" applyNumberFormat="1" applyFont="1" applyBorder="1" applyAlignment="1" applyProtection="1">
      <alignment vertical="center" shrinkToFit="1"/>
      <protection locked="0"/>
    </xf>
    <xf numFmtId="176" fontId="8" fillId="4" borderId="29" xfId="0" applyNumberFormat="1" applyFont="1" applyFill="1" applyBorder="1" applyAlignment="1">
      <alignment horizontal="center" vertical="center" shrinkToFit="1"/>
    </xf>
    <xf numFmtId="0" fontId="9" fillId="4" borderId="30" xfId="0" applyFont="1" applyFill="1" applyBorder="1" applyAlignment="1">
      <alignment horizontal="center" vertical="center"/>
    </xf>
    <xf numFmtId="177" fontId="10" fillId="4" borderId="29" xfId="0" applyNumberFormat="1" applyFont="1" applyFill="1" applyBorder="1" applyAlignment="1" applyProtection="1">
      <alignment vertical="center" shrinkToFit="1"/>
      <protection locked="0"/>
    </xf>
    <xf numFmtId="177" fontId="10" fillId="4" borderId="33" xfId="0" applyNumberFormat="1" applyFont="1" applyFill="1" applyBorder="1" applyAlignment="1" applyProtection="1">
      <alignment vertical="center" shrinkToFit="1"/>
      <protection locked="0"/>
    </xf>
    <xf numFmtId="176" fontId="8" fillId="0" borderId="37" xfId="0" applyNumberFormat="1" applyFont="1" applyBorder="1" applyAlignment="1">
      <alignment horizontal="center" vertical="center" shrinkToFit="1"/>
    </xf>
    <xf numFmtId="0" fontId="9" fillId="0" borderId="38" xfId="0" applyFont="1" applyBorder="1" applyAlignment="1">
      <alignment horizontal="center" vertical="center"/>
    </xf>
    <xf numFmtId="177" fontId="10" fillId="0" borderId="39" xfId="0" applyNumberFormat="1" applyFont="1" applyBorder="1" applyAlignment="1" applyProtection="1">
      <alignment vertical="center" shrinkToFit="1"/>
      <protection locked="0"/>
    </xf>
    <xf numFmtId="177" fontId="10" fillId="0" borderId="40" xfId="0" applyNumberFormat="1" applyFont="1" applyBorder="1" applyAlignment="1" applyProtection="1">
      <alignment vertical="center" shrinkToFit="1"/>
      <protection locked="0"/>
    </xf>
    <xf numFmtId="177" fontId="10" fillId="0" borderId="37" xfId="0" applyNumberFormat="1" applyFont="1" applyBorder="1" applyAlignment="1" applyProtection="1">
      <alignment vertical="center" shrinkToFit="1"/>
      <protection locked="0"/>
    </xf>
    <xf numFmtId="177" fontId="10" fillId="0" borderId="41" xfId="0" applyNumberFormat="1" applyFont="1" applyBorder="1" applyAlignment="1" applyProtection="1">
      <alignment vertical="center" shrinkToFit="1"/>
      <protection locked="0"/>
    </xf>
    <xf numFmtId="177" fontId="10" fillId="0" borderId="16" xfId="0" applyNumberFormat="1" applyFont="1" applyBorder="1" applyAlignment="1" applyProtection="1">
      <alignment vertical="center" shrinkToFit="1"/>
      <protection locked="0"/>
    </xf>
    <xf numFmtId="177" fontId="11" fillId="5" borderId="16" xfId="0" applyNumberFormat="1" applyFont="1" applyFill="1" applyBorder="1" applyAlignment="1">
      <alignment horizontal="right" vertical="center" shrinkToFit="1"/>
    </xf>
    <xf numFmtId="177" fontId="15" fillId="5" borderId="46" xfId="0" applyNumberFormat="1" applyFont="1" applyFill="1" applyBorder="1" applyAlignment="1">
      <alignment horizontal="right" vertical="center" shrinkToFit="1"/>
    </xf>
    <xf numFmtId="178" fontId="15" fillId="0" borderId="47" xfId="0" applyNumberFormat="1" applyFont="1" applyBorder="1">
      <alignment vertical="center"/>
    </xf>
    <xf numFmtId="0" fontId="9" fillId="0" borderId="48" xfId="0" applyFont="1" applyBorder="1" applyAlignment="1">
      <alignment horizontal="center" vertical="center"/>
    </xf>
    <xf numFmtId="0" fontId="9" fillId="2" borderId="50" xfId="0" applyFont="1" applyFill="1" applyBorder="1" applyAlignment="1">
      <alignment horizontal="right" vertical="center"/>
    </xf>
    <xf numFmtId="0" fontId="9" fillId="2" borderId="9" xfId="0" applyFont="1" applyFill="1" applyBorder="1">
      <alignment vertical="center"/>
    </xf>
    <xf numFmtId="0" fontId="9" fillId="2" borderId="19" xfId="0" applyFont="1" applyFill="1" applyBorder="1">
      <alignment vertical="center"/>
    </xf>
    <xf numFmtId="0" fontId="9" fillId="2" borderId="0" xfId="0" applyFont="1" applyFill="1">
      <alignment vertical="center"/>
    </xf>
    <xf numFmtId="0" fontId="9" fillId="0" borderId="0" xfId="0" applyFont="1">
      <alignment vertical="center"/>
    </xf>
    <xf numFmtId="38" fontId="9" fillId="2" borderId="45" xfId="1" applyFont="1" applyFill="1" applyBorder="1" applyAlignment="1" applyProtection="1">
      <alignment vertical="center"/>
      <protection locked="0"/>
    </xf>
    <xf numFmtId="38" fontId="9" fillId="0" borderId="51" xfId="1" applyFont="1" applyFill="1" applyBorder="1" applyAlignment="1" applyProtection="1">
      <alignment vertical="center"/>
    </xf>
    <xf numFmtId="38" fontId="9" fillId="0" borderId="19" xfId="1" applyFont="1" applyFill="1" applyBorder="1" applyAlignment="1" applyProtection="1">
      <alignment vertical="center"/>
    </xf>
    <xf numFmtId="38" fontId="9" fillId="2" borderId="0" xfId="1" applyFont="1" applyFill="1" applyBorder="1" applyAlignment="1" applyProtection="1">
      <alignment vertical="center"/>
    </xf>
    <xf numFmtId="0" fontId="9" fillId="0" borderId="52" xfId="0" applyFont="1" applyBorder="1">
      <alignment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40" fontId="9" fillId="0" borderId="8" xfId="1" applyNumberFormat="1" applyFont="1" applyBorder="1" applyAlignment="1" applyProtection="1">
      <alignment vertical="center"/>
    </xf>
    <xf numFmtId="40" fontId="17" fillId="0" borderId="54" xfId="1" applyNumberFormat="1" applyFont="1" applyBorder="1" applyAlignment="1" applyProtection="1">
      <alignment vertical="center"/>
    </xf>
    <xf numFmtId="0" fontId="9" fillId="0" borderId="55" xfId="0" applyFont="1" applyBorder="1">
      <alignment vertical="center"/>
    </xf>
    <xf numFmtId="38" fontId="9" fillId="0" borderId="55" xfId="1" applyFont="1" applyBorder="1" applyAlignment="1" applyProtection="1">
      <alignment vertical="center"/>
    </xf>
    <xf numFmtId="49" fontId="5" fillId="2" borderId="0" xfId="0" applyNumberFormat="1" applyFont="1" applyFill="1" applyAlignment="1" applyProtection="1">
      <alignment vertical="center" shrinkToFit="1"/>
      <protection locked="0"/>
    </xf>
    <xf numFmtId="49" fontId="5" fillId="0" borderId="0" xfId="0" applyNumberFormat="1" applyFont="1" applyAlignment="1" applyProtection="1">
      <alignment vertical="center" shrinkToFit="1"/>
      <protection locked="0"/>
    </xf>
    <xf numFmtId="49" fontId="6" fillId="2" borderId="0" xfId="0" applyNumberFormat="1" applyFont="1" applyFill="1" applyAlignment="1" applyProtection="1">
      <alignment horizontal="right" vertical="center" shrinkToFit="1"/>
      <protection locked="0"/>
    </xf>
    <xf numFmtId="0" fontId="6" fillId="2" borderId="0" xfId="0" applyFont="1" applyFill="1" applyAlignment="1" applyProtection="1">
      <alignment horizontal="right" vertical="center" shrinkToFit="1"/>
      <protection locked="0"/>
    </xf>
    <xf numFmtId="0" fontId="5" fillId="0" borderId="0" xfId="0" applyFont="1" applyAlignment="1" applyProtection="1">
      <alignment vertical="center" shrinkToFit="1"/>
      <protection locked="0"/>
    </xf>
    <xf numFmtId="49" fontId="5" fillId="2" borderId="1" xfId="0" applyNumberFormat="1" applyFont="1" applyFill="1" applyBorder="1" applyAlignment="1" applyProtection="1">
      <alignment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49" fontId="8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4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5" xfId="0" applyNumberFormat="1" applyFont="1" applyFill="1" applyBorder="1" applyAlignment="1" applyProtection="1">
      <alignment horizontal="center" vertical="center" shrinkToFit="1"/>
      <protection locked="0"/>
    </xf>
    <xf numFmtId="49" fontId="5" fillId="0" borderId="0" xfId="0" applyNumberFormat="1" applyFont="1" applyProtection="1">
      <alignment vertical="center"/>
      <protection locked="0"/>
    </xf>
    <xf numFmtId="49" fontId="5" fillId="0" borderId="0" xfId="0" applyNumberFormat="1" applyFont="1" applyAlignment="1" applyProtection="1">
      <alignment horizontal="left" vertical="center" shrinkToFit="1"/>
      <protection locked="0"/>
    </xf>
    <xf numFmtId="177" fontId="5" fillId="0" borderId="0" xfId="0" applyNumberFormat="1" applyFont="1" applyAlignment="1" applyProtection="1">
      <alignment vertical="center" shrinkToFit="1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38" fontId="17" fillId="0" borderId="56" xfId="1" applyFont="1" applyBorder="1" applyAlignment="1" applyProtection="1">
      <alignment vertical="center" shrinkToFit="1"/>
    </xf>
    <xf numFmtId="0" fontId="9" fillId="0" borderId="51" xfId="0" applyFont="1" applyBorder="1">
      <alignment vertical="center"/>
    </xf>
    <xf numFmtId="0" fontId="7" fillId="0" borderId="0" xfId="0" applyFont="1" applyAlignment="1">
      <alignment horizontal="left" vertical="center" wrapText="1" shrinkToFit="1"/>
    </xf>
    <xf numFmtId="55" fontId="2" fillId="2" borderId="0" xfId="0" applyNumberFormat="1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49" fontId="6" fillId="2" borderId="0" xfId="0" applyNumberFormat="1" applyFont="1" applyFill="1" applyAlignment="1" applyProtection="1">
      <alignment horizontal="right" vertical="center" shrinkToFit="1"/>
      <protection locked="0"/>
    </xf>
    <xf numFmtId="49" fontId="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8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6" xfId="0" applyNumberFormat="1" applyFont="1" applyFill="1" applyBorder="1" applyAlignment="1" applyProtection="1">
      <alignment horizontal="center" vertical="center" wrapText="1" shrinkToFit="1"/>
      <protection locked="0"/>
    </xf>
    <xf numFmtId="179" fontId="6" fillId="2" borderId="1" xfId="0" applyNumberFormat="1" applyFont="1" applyFill="1" applyBorder="1" applyAlignment="1" applyProtection="1">
      <alignment horizontal="left" vertical="center" shrinkToFit="1"/>
      <protection locked="0"/>
    </xf>
    <xf numFmtId="179" fontId="0" fillId="0" borderId="1" xfId="0" applyNumberFormat="1" applyBorder="1" applyAlignment="1">
      <alignment horizontal="left" vertical="center" shrinkToFit="1"/>
    </xf>
    <xf numFmtId="49" fontId="5" fillId="0" borderId="45" xfId="0" applyNumberFormat="1" applyFont="1" applyBorder="1" applyAlignment="1" applyProtection="1">
      <alignment horizontal="center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14" fillId="0" borderId="1" xfId="0" applyFont="1" applyBorder="1" applyAlignment="1" applyProtection="1">
      <alignment vertical="center" shrinkToFit="1"/>
      <protection locked="0"/>
    </xf>
    <xf numFmtId="49" fontId="8" fillId="3" borderId="9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0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7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8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4" borderId="26" xfId="0" applyNumberFormat="1" applyFont="1" applyFill="1" applyBorder="1" applyAlignment="1" applyProtection="1">
      <alignment vertical="center" wrapText="1" shrinkToFit="1"/>
      <protection locked="0"/>
    </xf>
    <xf numFmtId="49" fontId="12" fillId="4" borderId="27" xfId="0" applyNumberFormat="1" applyFont="1" applyFill="1" applyBorder="1" applyAlignment="1" applyProtection="1">
      <alignment vertical="center" wrapText="1" shrinkToFit="1"/>
      <protection locked="0"/>
    </xf>
    <xf numFmtId="49" fontId="12" fillId="4" borderId="28" xfId="0" applyNumberFormat="1" applyFont="1" applyFill="1" applyBorder="1" applyAlignment="1" applyProtection="1">
      <alignment vertical="center" wrapText="1" shrinkToFit="1"/>
      <protection locked="0"/>
    </xf>
    <xf numFmtId="49" fontId="12" fillId="0" borderId="34" xfId="2" applyNumberFormat="1" applyFont="1" applyBorder="1" applyAlignment="1" applyProtection="1">
      <alignment vertical="center" wrapText="1" shrinkToFit="1"/>
      <protection locked="0"/>
    </xf>
    <xf numFmtId="49" fontId="12" fillId="0" borderId="35" xfId="2" applyNumberFormat="1" applyFont="1" applyBorder="1" applyAlignment="1" applyProtection="1">
      <alignment vertical="center" wrapText="1" shrinkToFit="1"/>
      <protection locked="0"/>
    </xf>
    <xf numFmtId="49" fontId="12" fillId="0" borderId="36" xfId="2" applyNumberFormat="1" applyFont="1" applyBorder="1" applyAlignment="1" applyProtection="1">
      <alignment vertical="center" wrapText="1" shrinkToFit="1"/>
      <protection locked="0"/>
    </xf>
    <xf numFmtId="49" fontId="12" fillId="4" borderId="34" xfId="2" applyNumberFormat="1" applyFont="1" applyFill="1" applyBorder="1" applyAlignment="1" applyProtection="1">
      <alignment vertical="center" wrapText="1" shrinkToFit="1"/>
      <protection locked="0"/>
    </xf>
    <xf numFmtId="49" fontId="12" fillId="4" borderId="35" xfId="2" applyNumberFormat="1" applyFont="1" applyFill="1" applyBorder="1" applyAlignment="1" applyProtection="1">
      <alignment vertical="center" wrapText="1" shrinkToFit="1"/>
      <protection locked="0"/>
    </xf>
    <xf numFmtId="49" fontId="12" fillId="4" borderId="36" xfId="2" applyNumberFormat="1" applyFont="1" applyFill="1" applyBorder="1" applyAlignment="1" applyProtection="1">
      <alignment vertical="center" wrapText="1" shrinkToFit="1"/>
      <protection locked="0"/>
    </xf>
    <xf numFmtId="49" fontId="12" fillId="0" borderId="42" xfId="0" applyNumberFormat="1" applyFont="1" applyBorder="1" applyAlignment="1" applyProtection="1">
      <alignment vertical="center" wrapText="1" shrinkToFit="1"/>
      <protection locked="0"/>
    </xf>
    <xf numFmtId="49" fontId="12" fillId="0" borderId="43" xfId="0" applyNumberFormat="1" applyFont="1" applyBorder="1" applyAlignment="1" applyProtection="1">
      <alignment vertical="center" wrapText="1" shrinkToFit="1"/>
      <protection locked="0"/>
    </xf>
    <xf numFmtId="49" fontId="12" fillId="0" borderId="44" xfId="0" applyNumberFormat="1" applyFont="1" applyBorder="1" applyAlignment="1" applyProtection="1">
      <alignment vertical="center" wrapText="1" shrinkToFit="1"/>
      <protection locked="0"/>
    </xf>
    <xf numFmtId="49" fontId="5" fillId="0" borderId="1" xfId="0" applyNumberFormat="1" applyFont="1" applyBorder="1" applyAlignment="1" applyProtection="1">
      <alignment horizontal="right" vertical="center" shrinkToFit="1"/>
      <protection locked="0"/>
    </xf>
    <xf numFmtId="49" fontId="14" fillId="0" borderId="1" xfId="0" applyNumberFormat="1" applyFont="1" applyBorder="1" applyAlignment="1" applyProtection="1">
      <alignment horizontal="right" vertical="center"/>
      <protection locked="0"/>
    </xf>
    <xf numFmtId="0" fontId="9" fillId="0" borderId="4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8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0" fontId="9" fillId="2" borderId="45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51" xfId="0" applyFont="1" applyFill="1" applyBorder="1" applyAlignment="1" applyProtection="1">
      <alignment horizontal="center" vertical="center"/>
      <protection locked="0"/>
    </xf>
    <xf numFmtId="0" fontId="9" fillId="2" borderId="48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49" xfId="0" applyFont="1" applyFill="1" applyBorder="1" applyAlignment="1" applyProtection="1">
      <alignment horizontal="center" vertical="center"/>
      <protection locked="0"/>
    </xf>
    <xf numFmtId="49" fontId="12" fillId="4" borderId="34" xfId="0" applyNumberFormat="1" applyFont="1" applyFill="1" applyBorder="1" applyAlignment="1" applyProtection="1">
      <alignment vertical="center" wrapText="1" shrinkToFit="1"/>
      <protection locked="0"/>
    </xf>
    <xf numFmtId="49" fontId="12" fillId="4" borderId="35" xfId="0" applyNumberFormat="1" applyFont="1" applyFill="1" applyBorder="1" applyAlignment="1" applyProtection="1">
      <alignment vertical="center" wrapText="1" shrinkToFit="1"/>
      <protection locked="0"/>
    </xf>
    <xf numFmtId="49" fontId="12" fillId="4" borderId="36" xfId="0" applyNumberFormat="1" applyFont="1" applyFill="1" applyBorder="1" applyAlignment="1" applyProtection="1">
      <alignment vertical="center" wrapText="1" shrinkToFit="1"/>
      <protection locked="0"/>
    </xf>
    <xf numFmtId="49" fontId="12" fillId="0" borderId="34" xfId="0" applyNumberFormat="1" applyFont="1" applyBorder="1" applyAlignment="1" applyProtection="1">
      <alignment vertical="center" wrapText="1" shrinkToFit="1"/>
      <protection locked="0"/>
    </xf>
    <xf numFmtId="49" fontId="12" fillId="0" borderId="35" xfId="0" applyNumberFormat="1" applyFont="1" applyBorder="1" applyAlignment="1" applyProtection="1">
      <alignment vertical="center" wrapText="1" shrinkToFit="1"/>
      <protection locked="0"/>
    </xf>
    <xf numFmtId="49" fontId="12" fillId="0" borderId="36" xfId="0" applyNumberFormat="1" applyFont="1" applyBorder="1" applyAlignment="1" applyProtection="1">
      <alignment vertical="center" wrapText="1" shrinkToFit="1"/>
      <protection locked="0"/>
    </xf>
  </cellXfs>
  <cellStyles count="4">
    <cellStyle name="桁区切り" xfId="1" builtinId="6"/>
    <cellStyle name="桁区切り 2" xfId="3" xr:uid="{5EC1974E-56CC-4A1E-8A92-0B8E2FA0E7E9}"/>
    <cellStyle name="標準" xfId="0" builtinId="0"/>
    <cellStyle name="標準 2" xfId="2" xr:uid="{C2F96202-EDED-4A90-9853-CA63BB985CFC}"/>
  </cellStyles>
  <dxfs count="10"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F07C-0DE3-41A5-A262-CE076F2E976F}">
  <dimension ref="A1:R42"/>
  <sheetViews>
    <sheetView workbookViewId="0">
      <selection sqref="A1:D1"/>
    </sheetView>
  </sheetViews>
  <sheetFormatPr baseColWidth="10" defaultColWidth="8.1640625" defaultRowHeight="14"/>
  <cols>
    <col min="1" max="1" width="3.6640625" style="60" customWidth="1"/>
    <col min="2" max="2" width="2.83203125" style="60" customWidth="1"/>
    <col min="3" max="8" width="6" style="66" customWidth="1"/>
    <col min="9" max="14" width="6" style="55" customWidth="1"/>
    <col min="15" max="16384" width="8.1640625" style="55"/>
  </cols>
  <sheetData>
    <row r="1" spans="1:18" ht="20" customHeight="1">
      <c r="A1" s="71" t="s">
        <v>36</v>
      </c>
      <c r="B1" s="72"/>
      <c r="C1" s="72"/>
      <c r="D1" s="72"/>
      <c r="E1" s="54"/>
      <c r="F1" s="1"/>
      <c r="G1" s="2"/>
      <c r="H1" s="2" t="s">
        <v>25</v>
      </c>
      <c r="I1" s="54"/>
      <c r="J1" s="54"/>
      <c r="K1" s="54"/>
      <c r="L1" s="54"/>
      <c r="M1" s="1"/>
      <c r="N1" s="1"/>
    </row>
    <row r="2" spans="1:18" ht="20" customHeight="1">
      <c r="A2" s="73" t="s">
        <v>23</v>
      </c>
      <c r="B2" s="73"/>
      <c r="C2" s="73"/>
      <c r="D2" s="83" t="s">
        <v>26</v>
      </c>
      <c r="E2" s="84"/>
      <c r="F2" s="84"/>
      <c r="G2" s="84"/>
      <c r="H2" s="84"/>
      <c r="I2" s="57" t="s">
        <v>24</v>
      </c>
      <c r="J2" s="83" t="s">
        <v>27</v>
      </c>
      <c r="K2" s="84"/>
      <c r="L2" s="84"/>
      <c r="M2" s="84"/>
      <c r="N2" s="84"/>
      <c r="P2" s="58"/>
    </row>
    <row r="3" spans="1:18" ht="20" customHeight="1">
      <c r="A3" s="59"/>
      <c r="B3" s="59"/>
      <c r="C3" s="59"/>
      <c r="D3" s="56"/>
      <c r="E3" s="3"/>
      <c r="F3" s="3"/>
      <c r="G3" s="3"/>
      <c r="H3" s="3"/>
      <c r="I3" s="56"/>
      <c r="J3" s="56"/>
      <c r="K3" s="56"/>
      <c r="L3" s="56"/>
      <c r="M3" s="3"/>
      <c r="N3" s="3"/>
      <c r="O3" s="70"/>
      <c r="P3" s="70"/>
      <c r="Q3" s="70"/>
      <c r="R3" s="70"/>
    </row>
    <row r="4" spans="1:18" s="60" customFormat="1" ht="20" customHeight="1">
      <c r="A4" s="74" t="s">
        <v>0</v>
      </c>
      <c r="B4" s="76" t="s">
        <v>1</v>
      </c>
      <c r="C4" s="78" t="s">
        <v>2</v>
      </c>
      <c r="D4" s="79"/>
      <c r="E4" s="79"/>
      <c r="F4" s="80"/>
      <c r="G4" s="81" t="s">
        <v>3</v>
      </c>
      <c r="H4" s="81" t="s">
        <v>4</v>
      </c>
      <c r="I4" s="88" t="s">
        <v>5</v>
      </c>
      <c r="J4" s="88"/>
      <c r="K4" s="88"/>
      <c r="L4" s="88"/>
      <c r="M4" s="88"/>
      <c r="N4" s="89"/>
    </row>
    <row r="5" spans="1:18" s="60" customFormat="1" ht="20" customHeight="1" thickBot="1">
      <c r="A5" s="75"/>
      <c r="B5" s="77"/>
      <c r="C5" s="61" t="s">
        <v>6</v>
      </c>
      <c r="D5" s="62" t="s">
        <v>7</v>
      </c>
      <c r="E5" s="63" t="s">
        <v>6</v>
      </c>
      <c r="F5" s="62" t="s">
        <v>7</v>
      </c>
      <c r="G5" s="82"/>
      <c r="H5" s="82"/>
      <c r="I5" s="90"/>
      <c r="J5" s="90"/>
      <c r="K5" s="90"/>
      <c r="L5" s="90"/>
      <c r="M5" s="90"/>
      <c r="N5" s="91"/>
    </row>
    <row r="6" spans="1:18" ht="20" customHeight="1" thickTop="1">
      <c r="A6" s="4">
        <f>DATEVALUE(TEXT(SUBSTITUTE(SUBSTITUTE(SUBSTITUTE($A$1,"元","１"),"分",""),"度","")&amp;"１日","yyyy/mm/d"))</f>
        <v>45870</v>
      </c>
      <c r="B6" s="5" t="str">
        <f>TEXT(A6,"aaa")</f>
        <v>金</v>
      </c>
      <c r="C6" s="6"/>
      <c r="D6" s="7"/>
      <c r="E6" s="8"/>
      <c r="F6" s="9"/>
      <c r="G6" s="10"/>
      <c r="H6" s="11" t="str">
        <f t="shared" ref="H6:H36" si="0">IF((D6-C6)+(F6-E6)-G6=0,"",(D6-C6)+(F6-E6)-G6)</f>
        <v/>
      </c>
      <c r="I6" s="92"/>
      <c r="J6" s="93"/>
      <c r="K6" s="93"/>
      <c r="L6" s="93"/>
      <c r="M6" s="93"/>
      <c r="N6" s="94"/>
    </row>
    <row r="7" spans="1:18" ht="20" customHeight="1">
      <c r="A7" s="12">
        <f t="shared" ref="A7:A33" si="1">A6+1</f>
        <v>45871</v>
      </c>
      <c r="B7" s="13" t="str">
        <f t="shared" ref="B7:B36" si="2">TEXT(A7,"aaa")</f>
        <v>土</v>
      </c>
      <c r="C7" s="14"/>
      <c r="D7" s="15"/>
      <c r="E7" s="16"/>
      <c r="F7" s="17"/>
      <c r="G7" s="18"/>
      <c r="H7" s="11" t="str">
        <f t="shared" si="0"/>
        <v/>
      </c>
      <c r="I7" s="98"/>
      <c r="J7" s="99"/>
      <c r="K7" s="99"/>
      <c r="L7" s="99"/>
      <c r="M7" s="99"/>
      <c r="N7" s="100"/>
    </row>
    <row r="8" spans="1:18" ht="20" customHeight="1">
      <c r="A8" s="19">
        <f t="shared" si="1"/>
        <v>45872</v>
      </c>
      <c r="B8" s="13" t="str">
        <f t="shared" si="2"/>
        <v>日</v>
      </c>
      <c r="C8" s="14"/>
      <c r="D8" s="15"/>
      <c r="E8" s="16"/>
      <c r="F8" s="17"/>
      <c r="G8" s="18"/>
      <c r="H8" s="11" t="str">
        <f t="shared" si="0"/>
        <v/>
      </c>
      <c r="I8" s="98"/>
      <c r="J8" s="99"/>
      <c r="K8" s="99"/>
      <c r="L8" s="99"/>
      <c r="M8" s="99"/>
      <c r="N8" s="100"/>
    </row>
    <row r="9" spans="1:18" ht="20" customHeight="1">
      <c r="A9" s="12">
        <f t="shared" si="1"/>
        <v>45873</v>
      </c>
      <c r="B9" s="13" t="str">
        <f t="shared" si="2"/>
        <v>月</v>
      </c>
      <c r="C9" s="14">
        <v>0.54166666666666663</v>
      </c>
      <c r="D9" s="15">
        <v>0.58333333333333337</v>
      </c>
      <c r="E9" s="16">
        <v>0.70833333333333337</v>
      </c>
      <c r="F9" s="17">
        <v>0.75</v>
      </c>
      <c r="G9" s="18"/>
      <c r="H9" s="11">
        <f t="shared" si="0"/>
        <v>8.333333333333337E-2</v>
      </c>
      <c r="I9" s="98" t="s">
        <v>30</v>
      </c>
      <c r="J9" s="99"/>
      <c r="K9" s="99"/>
      <c r="L9" s="99"/>
      <c r="M9" s="99"/>
      <c r="N9" s="100"/>
    </row>
    <row r="10" spans="1:18" ht="20" customHeight="1">
      <c r="A10" s="12">
        <f t="shared" si="1"/>
        <v>45874</v>
      </c>
      <c r="B10" s="13" t="str">
        <f t="shared" si="2"/>
        <v>火</v>
      </c>
      <c r="C10" s="20"/>
      <c r="D10" s="21"/>
      <c r="E10" s="16"/>
      <c r="F10" s="17"/>
      <c r="G10" s="18"/>
      <c r="H10" s="11" t="str">
        <f t="shared" si="0"/>
        <v/>
      </c>
      <c r="I10" s="95"/>
      <c r="J10" s="96"/>
      <c r="K10" s="96"/>
      <c r="L10" s="96"/>
      <c r="M10" s="96"/>
      <c r="N10" s="97"/>
    </row>
    <row r="11" spans="1:18" ht="20" customHeight="1">
      <c r="A11" s="22">
        <f t="shared" si="1"/>
        <v>45875</v>
      </c>
      <c r="B11" s="23" t="str">
        <f t="shared" si="2"/>
        <v>水</v>
      </c>
      <c r="C11" s="6"/>
      <c r="D11" s="7"/>
      <c r="E11" s="24"/>
      <c r="F11" s="9"/>
      <c r="G11" s="25"/>
      <c r="H11" s="11" t="str">
        <f t="shared" si="0"/>
        <v/>
      </c>
      <c r="I11" s="95"/>
      <c r="J11" s="96"/>
      <c r="K11" s="96"/>
      <c r="L11" s="96"/>
      <c r="M11" s="96"/>
      <c r="N11" s="97"/>
    </row>
    <row r="12" spans="1:18" ht="20" customHeight="1">
      <c r="A12" s="22">
        <f t="shared" si="1"/>
        <v>45876</v>
      </c>
      <c r="B12" s="23" t="str">
        <f t="shared" si="2"/>
        <v>木</v>
      </c>
      <c r="C12" s="6">
        <v>0.41666666666666669</v>
      </c>
      <c r="D12" s="7">
        <v>0.625</v>
      </c>
      <c r="E12" s="24"/>
      <c r="F12" s="9"/>
      <c r="G12" s="25">
        <v>4.1666666666666664E-2</v>
      </c>
      <c r="H12" s="11">
        <f t="shared" si="0"/>
        <v>0.16666666666666666</v>
      </c>
      <c r="I12" s="95" t="s">
        <v>31</v>
      </c>
      <c r="J12" s="96"/>
      <c r="K12" s="96"/>
      <c r="L12" s="96"/>
      <c r="M12" s="96"/>
      <c r="N12" s="97"/>
    </row>
    <row r="13" spans="1:18" ht="20" customHeight="1">
      <c r="A13" s="12">
        <f t="shared" si="1"/>
        <v>45877</v>
      </c>
      <c r="B13" s="13" t="str">
        <f t="shared" si="2"/>
        <v>金</v>
      </c>
      <c r="C13" s="20"/>
      <c r="D13" s="21"/>
      <c r="E13" s="16"/>
      <c r="F13" s="17"/>
      <c r="G13" s="18"/>
      <c r="H13" s="11" t="str">
        <f t="shared" si="0"/>
        <v/>
      </c>
      <c r="I13" s="95"/>
      <c r="J13" s="96"/>
      <c r="K13" s="96"/>
      <c r="L13" s="96"/>
      <c r="M13" s="96"/>
      <c r="N13" s="97"/>
    </row>
    <row r="14" spans="1:18" ht="20" customHeight="1">
      <c r="A14" s="12">
        <f t="shared" si="1"/>
        <v>45878</v>
      </c>
      <c r="B14" s="13" t="str">
        <f t="shared" si="2"/>
        <v>土</v>
      </c>
      <c r="C14" s="14">
        <v>0.54166666666666663</v>
      </c>
      <c r="D14" s="15">
        <v>0.58333333333333337</v>
      </c>
      <c r="E14" s="16">
        <v>0.66666666666666663</v>
      </c>
      <c r="F14" s="17">
        <v>0.75</v>
      </c>
      <c r="G14" s="18"/>
      <c r="H14" s="11">
        <f t="shared" si="0"/>
        <v>0.12500000000000011</v>
      </c>
      <c r="I14" s="98" t="s">
        <v>28</v>
      </c>
      <c r="J14" s="99"/>
      <c r="K14" s="99"/>
      <c r="L14" s="99"/>
      <c r="M14" s="99"/>
      <c r="N14" s="100"/>
    </row>
    <row r="15" spans="1:18" ht="20" customHeight="1">
      <c r="A15" s="19">
        <f t="shared" si="1"/>
        <v>45879</v>
      </c>
      <c r="B15" s="13" t="str">
        <f t="shared" si="2"/>
        <v>日</v>
      </c>
      <c r="C15" s="20"/>
      <c r="D15" s="21"/>
      <c r="E15" s="16"/>
      <c r="F15" s="17"/>
      <c r="G15" s="18"/>
      <c r="H15" s="11" t="str">
        <f t="shared" si="0"/>
        <v/>
      </c>
      <c r="I15" s="95"/>
      <c r="J15" s="96"/>
      <c r="K15" s="96"/>
      <c r="L15" s="96"/>
      <c r="M15" s="96"/>
      <c r="N15" s="97"/>
    </row>
    <row r="16" spans="1:18" ht="20" customHeight="1">
      <c r="A16" s="12">
        <f t="shared" si="1"/>
        <v>45880</v>
      </c>
      <c r="B16" s="13" t="str">
        <f t="shared" si="2"/>
        <v>月</v>
      </c>
      <c r="C16" s="14"/>
      <c r="D16" s="15"/>
      <c r="E16" s="16"/>
      <c r="F16" s="17"/>
      <c r="G16" s="18"/>
      <c r="H16" s="11" t="str">
        <f t="shared" si="0"/>
        <v/>
      </c>
      <c r="I16" s="95"/>
      <c r="J16" s="96"/>
      <c r="K16" s="96"/>
      <c r="L16" s="96"/>
      <c r="M16" s="96"/>
      <c r="N16" s="97"/>
    </row>
    <row r="17" spans="1:14" ht="20" customHeight="1">
      <c r="A17" s="12">
        <f t="shared" si="1"/>
        <v>45881</v>
      </c>
      <c r="B17" s="13" t="str">
        <f t="shared" si="2"/>
        <v>火</v>
      </c>
      <c r="C17" s="14"/>
      <c r="D17" s="15"/>
      <c r="E17" s="16"/>
      <c r="F17" s="17"/>
      <c r="G17" s="18"/>
      <c r="H17" s="11" t="str">
        <f t="shared" si="0"/>
        <v/>
      </c>
      <c r="I17" s="95"/>
      <c r="J17" s="96"/>
      <c r="K17" s="96"/>
      <c r="L17" s="96"/>
      <c r="M17" s="96"/>
      <c r="N17" s="97"/>
    </row>
    <row r="18" spans="1:14" ht="20" customHeight="1">
      <c r="A18" s="12">
        <f t="shared" si="1"/>
        <v>45882</v>
      </c>
      <c r="B18" s="13" t="str">
        <f t="shared" si="2"/>
        <v>水</v>
      </c>
      <c r="C18" s="20"/>
      <c r="D18" s="21"/>
      <c r="E18" s="16"/>
      <c r="F18" s="17"/>
      <c r="G18" s="18"/>
      <c r="H18" s="11" t="str">
        <f t="shared" si="0"/>
        <v/>
      </c>
      <c r="I18" s="95"/>
      <c r="J18" s="96"/>
      <c r="K18" s="96"/>
      <c r="L18" s="96"/>
      <c r="M18" s="96"/>
      <c r="N18" s="97"/>
    </row>
    <row r="19" spans="1:14" ht="20" customHeight="1">
      <c r="A19" s="12">
        <f t="shared" si="1"/>
        <v>45883</v>
      </c>
      <c r="B19" s="13" t="str">
        <f t="shared" si="2"/>
        <v>木</v>
      </c>
      <c r="C19" s="20"/>
      <c r="D19" s="21"/>
      <c r="E19" s="16"/>
      <c r="F19" s="17"/>
      <c r="G19" s="18"/>
      <c r="H19" s="11" t="str">
        <f t="shared" si="0"/>
        <v/>
      </c>
      <c r="I19" s="95"/>
      <c r="J19" s="96"/>
      <c r="K19" s="96"/>
      <c r="L19" s="96"/>
      <c r="M19" s="96"/>
      <c r="N19" s="97"/>
    </row>
    <row r="20" spans="1:14" ht="20" customHeight="1">
      <c r="A20" s="12">
        <f t="shared" si="1"/>
        <v>45884</v>
      </c>
      <c r="B20" s="13" t="str">
        <f t="shared" si="2"/>
        <v>金</v>
      </c>
      <c r="C20" s="20"/>
      <c r="D20" s="21"/>
      <c r="E20" s="16"/>
      <c r="F20" s="17"/>
      <c r="G20" s="18"/>
      <c r="H20" s="11" t="str">
        <f t="shared" si="0"/>
        <v/>
      </c>
      <c r="I20" s="95"/>
      <c r="J20" s="96"/>
      <c r="K20" s="96"/>
      <c r="L20" s="96"/>
      <c r="M20" s="96"/>
      <c r="N20" s="97"/>
    </row>
    <row r="21" spans="1:14" ht="20" customHeight="1">
      <c r="A21" s="12">
        <f t="shared" si="1"/>
        <v>45885</v>
      </c>
      <c r="B21" s="13" t="str">
        <f t="shared" si="2"/>
        <v>土</v>
      </c>
      <c r="C21" s="14"/>
      <c r="D21" s="15"/>
      <c r="E21" s="16"/>
      <c r="F21" s="17"/>
      <c r="G21" s="18"/>
      <c r="H21" s="11" t="str">
        <f t="shared" si="0"/>
        <v/>
      </c>
      <c r="I21" s="98"/>
      <c r="J21" s="99"/>
      <c r="K21" s="99"/>
      <c r="L21" s="99"/>
      <c r="M21" s="99"/>
      <c r="N21" s="100"/>
    </row>
    <row r="22" spans="1:14" ht="20" customHeight="1">
      <c r="A22" s="12">
        <f t="shared" si="1"/>
        <v>45886</v>
      </c>
      <c r="B22" s="13" t="str">
        <f t="shared" si="2"/>
        <v>日</v>
      </c>
      <c r="C22" s="14">
        <v>0.41666666666666669</v>
      </c>
      <c r="D22" s="15">
        <v>0.58333333333333337</v>
      </c>
      <c r="E22" s="16">
        <v>0.66666666666666663</v>
      </c>
      <c r="F22" s="17">
        <v>0.75</v>
      </c>
      <c r="G22" s="18">
        <v>8.3333333333333329E-2</v>
      </c>
      <c r="H22" s="11">
        <f t="shared" si="0"/>
        <v>0.16666666666666674</v>
      </c>
      <c r="I22" s="98" t="s">
        <v>29</v>
      </c>
      <c r="J22" s="99"/>
      <c r="K22" s="99"/>
      <c r="L22" s="99"/>
      <c r="M22" s="99"/>
      <c r="N22" s="100"/>
    </row>
    <row r="23" spans="1:14" ht="20" customHeight="1">
      <c r="A23" s="12">
        <f t="shared" si="1"/>
        <v>45887</v>
      </c>
      <c r="B23" s="13" t="str">
        <f t="shared" si="2"/>
        <v>月</v>
      </c>
      <c r="C23" s="20"/>
      <c r="D23" s="21"/>
      <c r="E23" s="16"/>
      <c r="F23" s="17"/>
      <c r="G23" s="18"/>
      <c r="H23" s="11" t="str">
        <f t="shared" si="0"/>
        <v/>
      </c>
      <c r="I23" s="95"/>
      <c r="J23" s="96"/>
      <c r="K23" s="96"/>
      <c r="L23" s="96"/>
      <c r="M23" s="96"/>
      <c r="N23" s="97"/>
    </row>
    <row r="24" spans="1:14" ht="20" customHeight="1">
      <c r="A24" s="12">
        <f t="shared" si="1"/>
        <v>45888</v>
      </c>
      <c r="B24" s="13" t="str">
        <f t="shared" si="2"/>
        <v>火</v>
      </c>
      <c r="C24" s="14"/>
      <c r="D24" s="15"/>
      <c r="E24" s="16"/>
      <c r="F24" s="17"/>
      <c r="G24" s="18"/>
      <c r="H24" s="11" t="str">
        <f t="shared" si="0"/>
        <v/>
      </c>
      <c r="I24" s="95"/>
      <c r="J24" s="96"/>
      <c r="K24" s="96"/>
      <c r="L24" s="96"/>
      <c r="M24" s="96"/>
      <c r="N24" s="97"/>
    </row>
    <row r="25" spans="1:14" ht="20" customHeight="1">
      <c r="A25" s="12">
        <f t="shared" si="1"/>
        <v>45889</v>
      </c>
      <c r="B25" s="13" t="str">
        <f t="shared" si="2"/>
        <v>水</v>
      </c>
      <c r="C25" s="20"/>
      <c r="D25" s="21"/>
      <c r="E25" s="16"/>
      <c r="F25" s="17"/>
      <c r="G25" s="18"/>
      <c r="H25" s="11" t="str">
        <f t="shared" si="0"/>
        <v/>
      </c>
      <c r="I25" s="95"/>
      <c r="J25" s="96"/>
      <c r="K25" s="96"/>
      <c r="L25" s="96"/>
      <c r="M25" s="96"/>
      <c r="N25" s="97"/>
    </row>
    <row r="26" spans="1:14" ht="20" customHeight="1">
      <c r="A26" s="12">
        <f t="shared" si="1"/>
        <v>45890</v>
      </c>
      <c r="B26" s="13" t="str">
        <f t="shared" si="2"/>
        <v>木</v>
      </c>
      <c r="C26" s="14"/>
      <c r="D26" s="15"/>
      <c r="E26" s="16"/>
      <c r="F26" s="17"/>
      <c r="G26" s="18"/>
      <c r="H26" s="11" t="str">
        <f t="shared" si="0"/>
        <v/>
      </c>
      <c r="I26" s="95"/>
      <c r="J26" s="96"/>
      <c r="K26" s="96"/>
      <c r="L26" s="96"/>
      <c r="M26" s="96"/>
      <c r="N26" s="97"/>
    </row>
    <row r="27" spans="1:14" ht="20" customHeight="1">
      <c r="A27" s="12">
        <f t="shared" si="1"/>
        <v>45891</v>
      </c>
      <c r="B27" s="13" t="str">
        <f t="shared" si="2"/>
        <v>金</v>
      </c>
      <c r="C27" s="20"/>
      <c r="D27" s="21"/>
      <c r="E27" s="16"/>
      <c r="F27" s="17"/>
      <c r="G27" s="18"/>
      <c r="H27" s="11" t="str">
        <f t="shared" si="0"/>
        <v/>
      </c>
      <c r="I27" s="95"/>
      <c r="J27" s="96"/>
      <c r="K27" s="96"/>
      <c r="L27" s="96"/>
      <c r="M27" s="96"/>
      <c r="N27" s="97"/>
    </row>
    <row r="28" spans="1:14" ht="20" customHeight="1">
      <c r="A28" s="12">
        <f t="shared" si="1"/>
        <v>45892</v>
      </c>
      <c r="B28" s="13" t="str">
        <f t="shared" si="2"/>
        <v>土</v>
      </c>
      <c r="C28" s="14"/>
      <c r="D28" s="15"/>
      <c r="E28" s="16"/>
      <c r="F28" s="17"/>
      <c r="G28" s="18"/>
      <c r="H28" s="11" t="str">
        <f t="shared" si="0"/>
        <v/>
      </c>
      <c r="I28" s="98"/>
      <c r="J28" s="99"/>
      <c r="K28" s="99"/>
      <c r="L28" s="99"/>
      <c r="M28" s="99"/>
      <c r="N28" s="100"/>
    </row>
    <row r="29" spans="1:14" ht="20" customHeight="1">
      <c r="A29" s="12">
        <f t="shared" si="1"/>
        <v>45893</v>
      </c>
      <c r="B29" s="13" t="str">
        <f t="shared" si="2"/>
        <v>日</v>
      </c>
      <c r="C29" s="14">
        <v>0.54166666666666663</v>
      </c>
      <c r="D29" s="15">
        <v>0.58333333333333337</v>
      </c>
      <c r="E29" s="16">
        <v>0.70833333333333337</v>
      </c>
      <c r="F29" s="17">
        <v>0.75</v>
      </c>
      <c r="G29" s="18"/>
      <c r="H29" s="11">
        <f t="shared" si="0"/>
        <v>8.333333333333337E-2</v>
      </c>
      <c r="I29" s="95" t="s">
        <v>33</v>
      </c>
      <c r="J29" s="96"/>
      <c r="K29" s="96"/>
      <c r="L29" s="96"/>
      <c r="M29" s="96"/>
      <c r="N29" s="97"/>
    </row>
    <row r="30" spans="1:14" ht="20" customHeight="1">
      <c r="A30" s="12">
        <f t="shared" si="1"/>
        <v>45894</v>
      </c>
      <c r="B30" s="13" t="str">
        <f t="shared" si="2"/>
        <v>月</v>
      </c>
      <c r="C30" s="20"/>
      <c r="D30" s="21"/>
      <c r="E30" s="16"/>
      <c r="F30" s="17"/>
      <c r="G30" s="18"/>
      <c r="H30" s="11" t="str">
        <f t="shared" si="0"/>
        <v/>
      </c>
      <c r="I30" s="95"/>
      <c r="J30" s="96"/>
      <c r="K30" s="96"/>
      <c r="L30" s="96"/>
      <c r="M30" s="96"/>
      <c r="N30" s="97"/>
    </row>
    <row r="31" spans="1:14" ht="20" customHeight="1">
      <c r="A31" s="12">
        <f t="shared" si="1"/>
        <v>45895</v>
      </c>
      <c r="B31" s="13" t="str">
        <f t="shared" si="2"/>
        <v>火</v>
      </c>
      <c r="C31" s="20"/>
      <c r="D31" s="21"/>
      <c r="E31" s="16"/>
      <c r="F31" s="17"/>
      <c r="G31" s="18"/>
      <c r="H31" s="11" t="str">
        <f t="shared" si="0"/>
        <v/>
      </c>
      <c r="I31" s="95"/>
      <c r="J31" s="96"/>
      <c r="K31" s="96"/>
      <c r="L31" s="96"/>
      <c r="M31" s="96"/>
      <c r="N31" s="97"/>
    </row>
    <row r="32" spans="1:14" ht="20" customHeight="1">
      <c r="A32" s="12">
        <f t="shared" si="1"/>
        <v>45896</v>
      </c>
      <c r="B32" s="13" t="str">
        <f t="shared" si="2"/>
        <v>水</v>
      </c>
      <c r="C32" s="14"/>
      <c r="D32" s="15"/>
      <c r="E32" s="16"/>
      <c r="F32" s="17"/>
      <c r="G32" s="18"/>
      <c r="H32" s="11" t="str">
        <f t="shared" si="0"/>
        <v/>
      </c>
      <c r="I32" s="95"/>
      <c r="J32" s="96"/>
      <c r="K32" s="96"/>
      <c r="L32" s="96"/>
      <c r="M32" s="96"/>
      <c r="N32" s="97"/>
    </row>
    <row r="33" spans="1:14" ht="20" customHeight="1">
      <c r="A33" s="12">
        <f t="shared" si="1"/>
        <v>45897</v>
      </c>
      <c r="B33" s="13" t="str">
        <f t="shared" si="2"/>
        <v>木</v>
      </c>
      <c r="C33" s="14">
        <v>0.58333333333333337</v>
      </c>
      <c r="D33" s="15">
        <v>0.79166666666666663</v>
      </c>
      <c r="E33" s="16"/>
      <c r="F33" s="17"/>
      <c r="G33" s="18">
        <v>0.125</v>
      </c>
      <c r="H33" s="11">
        <f t="shared" si="0"/>
        <v>8.3333333333333259E-2</v>
      </c>
      <c r="I33" s="98" t="s">
        <v>32</v>
      </c>
      <c r="J33" s="99"/>
      <c r="K33" s="99"/>
      <c r="L33" s="99"/>
      <c r="M33" s="99"/>
      <c r="N33" s="100"/>
    </row>
    <row r="34" spans="1:14" ht="20" customHeight="1">
      <c r="A34" s="12">
        <f>IF(DAY(A33+1)&lt;4,"",A33+1)</f>
        <v>45898</v>
      </c>
      <c r="B34" s="13" t="str">
        <f t="shared" si="2"/>
        <v>金</v>
      </c>
      <c r="C34" s="20"/>
      <c r="D34" s="21"/>
      <c r="E34" s="16"/>
      <c r="F34" s="17"/>
      <c r="G34" s="18"/>
      <c r="H34" s="11" t="str">
        <f t="shared" si="0"/>
        <v/>
      </c>
      <c r="I34" s="95"/>
      <c r="J34" s="96"/>
      <c r="K34" s="96"/>
      <c r="L34" s="96"/>
      <c r="M34" s="96"/>
      <c r="N34" s="97"/>
    </row>
    <row r="35" spans="1:14" ht="20" customHeight="1">
      <c r="A35" s="12">
        <f>IF(DAY(A33+2)&lt;4,"",A33+2)</f>
        <v>45899</v>
      </c>
      <c r="B35" s="13" t="str">
        <f t="shared" si="2"/>
        <v>土</v>
      </c>
      <c r="C35" s="14"/>
      <c r="D35" s="15"/>
      <c r="E35" s="16"/>
      <c r="F35" s="17"/>
      <c r="G35" s="18"/>
      <c r="H35" s="11" t="str">
        <f t="shared" si="0"/>
        <v/>
      </c>
      <c r="I35" s="98"/>
      <c r="J35" s="99"/>
      <c r="K35" s="99"/>
      <c r="L35" s="99"/>
      <c r="M35" s="99"/>
      <c r="N35" s="100"/>
    </row>
    <row r="36" spans="1:14" ht="20" customHeight="1" thickBot="1">
      <c r="A36" s="26">
        <f>IF(DAY(A33+3)&lt;4,"",A33+3)</f>
        <v>45900</v>
      </c>
      <c r="B36" s="27" t="str">
        <f t="shared" si="2"/>
        <v>日</v>
      </c>
      <c r="C36" s="28"/>
      <c r="D36" s="29"/>
      <c r="E36" s="30"/>
      <c r="F36" s="31"/>
      <c r="G36" s="32"/>
      <c r="H36" s="33" t="str">
        <f t="shared" si="0"/>
        <v/>
      </c>
      <c r="I36" s="101"/>
      <c r="J36" s="102"/>
      <c r="K36" s="102"/>
      <c r="L36" s="102"/>
      <c r="M36" s="102"/>
      <c r="N36" s="103"/>
    </row>
    <row r="37" spans="1:14" ht="20" customHeight="1" thickTop="1">
      <c r="A37" s="85" t="s">
        <v>8</v>
      </c>
      <c r="B37" s="86"/>
      <c r="C37" s="87"/>
      <c r="D37" s="87"/>
      <c r="E37" s="87"/>
      <c r="F37" s="87"/>
      <c r="G37" s="87"/>
      <c r="H37" s="34">
        <f>SUM(H6:H36)</f>
        <v>0.70833333333333348</v>
      </c>
      <c r="I37" s="104" t="s">
        <v>9</v>
      </c>
      <c r="J37" s="104"/>
      <c r="K37" s="104"/>
      <c r="L37" s="104"/>
      <c r="M37" s="105"/>
      <c r="N37" s="35">
        <f>ROUNDDOWN(ROUND(H37*24*60,1)/60,2)</f>
        <v>17</v>
      </c>
    </row>
    <row r="38" spans="1:14" ht="20" customHeight="1">
      <c r="A38" s="64"/>
      <c r="B38" s="65"/>
    </row>
    <row r="39" spans="1:14" ht="20" customHeight="1">
      <c r="A39" s="67"/>
      <c r="B39" s="65"/>
    </row>
    <row r="40" spans="1:14" ht="20" customHeight="1">
      <c r="A40" s="67"/>
      <c r="B40" s="65"/>
    </row>
    <row r="41" spans="1:14" ht="20" customHeight="1">
      <c r="A41" s="67"/>
      <c r="B41" s="65"/>
    </row>
    <row r="42" spans="1:14" ht="20" customHeight="1">
      <c r="A42" s="67"/>
      <c r="B42" s="65"/>
    </row>
  </sheetData>
  <mergeCells count="44">
    <mergeCell ref="I22:N22"/>
    <mergeCell ref="I23:N23"/>
    <mergeCell ref="I24:N24"/>
    <mergeCell ref="I17:N17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I16:N16"/>
    <mergeCell ref="I34:N34"/>
    <mergeCell ref="I35:N35"/>
    <mergeCell ref="I29:N29"/>
    <mergeCell ref="I27:N27"/>
    <mergeCell ref="I28:N28"/>
    <mergeCell ref="A37:G37"/>
    <mergeCell ref="D2:H2"/>
    <mergeCell ref="I4:N5"/>
    <mergeCell ref="I6:N6"/>
    <mergeCell ref="I18:N18"/>
    <mergeCell ref="I19:N19"/>
    <mergeCell ref="I20:N20"/>
    <mergeCell ref="I21:N21"/>
    <mergeCell ref="I25:N25"/>
    <mergeCell ref="I26:N26"/>
    <mergeCell ref="I36:N36"/>
    <mergeCell ref="I37:M37"/>
    <mergeCell ref="I30:N30"/>
    <mergeCell ref="I31:N31"/>
    <mergeCell ref="I32:N32"/>
    <mergeCell ref="I33:N33"/>
    <mergeCell ref="O3:R3"/>
    <mergeCell ref="A1:D1"/>
    <mergeCell ref="A2:C2"/>
    <mergeCell ref="A4:A5"/>
    <mergeCell ref="B4:B5"/>
    <mergeCell ref="C4:F4"/>
    <mergeCell ref="G4:G5"/>
    <mergeCell ref="H4:H5"/>
    <mergeCell ref="J2:N2"/>
  </mergeCells>
  <phoneticPr fontId="3"/>
  <conditionalFormatting sqref="A6:N36">
    <cfRule type="expression" dxfId="9" priority="5" stopIfTrue="1">
      <formula>OR($B6="土",$B6="日",$B6="祝",$B6="振",$I6="休日")</formula>
    </cfRule>
  </conditionalFormatting>
  <dataValidations count="2">
    <dataValidation type="time" allowBlank="1" showInputMessage="1" showErrorMessage="1" errorTitle="時刻を入力してください。" error="0:00から23:59までの時刻が入力できます。" sqref="G6:G36 C6:C36 E6:E36" xr:uid="{3C2931BA-D256-4E53-BA85-B51234D6ADF1}">
      <formula1>0</formula1>
      <formula2>0.999988425925926</formula2>
    </dataValidation>
    <dataValidation type="time" operator="greaterThan" allowBlank="1" showInputMessage="1" showErrorMessage="1" errorTitle="時刻を入力して下さい。" error="0:01以上の時刻を入力して下さい。" sqref="F6:F36 D6:D36" xr:uid="{F2FC0FA9-E73B-4392-98CF-39395F2ADBDE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FFCB-32F4-4E8A-80EF-74D80A0C2D89}">
  <dimension ref="A1:J8"/>
  <sheetViews>
    <sheetView tabSelected="1" workbookViewId="0">
      <selection activeCell="E8" sqref="E8"/>
    </sheetView>
  </sheetViews>
  <sheetFormatPr baseColWidth="10" defaultColWidth="7.83203125" defaultRowHeight="20" customHeight="1"/>
  <cols>
    <col min="1" max="10" width="8.6640625" style="41" customWidth="1"/>
    <col min="11" max="16384" width="7.83203125" style="41"/>
  </cols>
  <sheetData>
    <row r="1" spans="1:10" ht="15">
      <c r="A1" s="106" t="s">
        <v>10</v>
      </c>
      <c r="B1" s="107"/>
      <c r="C1" s="108"/>
      <c r="D1" s="37" t="s">
        <v>11</v>
      </c>
      <c r="E1" s="38">
        <v>2025</v>
      </c>
      <c r="F1" s="38" t="s">
        <v>12</v>
      </c>
      <c r="G1" s="39"/>
      <c r="H1" s="40"/>
      <c r="I1" s="40"/>
      <c r="J1" s="40"/>
    </row>
    <row r="2" spans="1:10" ht="15">
      <c r="A2" s="109" t="s">
        <v>22</v>
      </c>
      <c r="B2" s="110"/>
      <c r="C2" s="46" t="s">
        <v>13</v>
      </c>
      <c r="D2" s="114" t="s">
        <v>43</v>
      </c>
      <c r="E2" s="115"/>
      <c r="F2" s="115"/>
      <c r="G2" s="115"/>
      <c r="H2" s="116"/>
      <c r="I2" s="40"/>
      <c r="J2" s="40"/>
    </row>
    <row r="3" spans="1:10" ht="15">
      <c r="A3" s="109" t="s">
        <v>35</v>
      </c>
      <c r="B3" s="110"/>
      <c r="C3" s="69" t="s">
        <v>13</v>
      </c>
      <c r="D3" s="111" t="s">
        <v>44</v>
      </c>
      <c r="E3" s="112"/>
      <c r="F3" s="112"/>
      <c r="G3" s="112"/>
      <c r="H3" s="113"/>
      <c r="I3" s="40"/>
      <c r="J3" s="40"/>
    </row>
    <row r="4" spans="1:10" ht="15">
      <c r="A4" s="106" t="s">
        <v>21</v>
      </c>
      <c r="B4" s="107"/>
      <c r="C4" s="108"/>
      <c r="D4" s="42">
        <v>2200</v>
      </c>
      <c r="E4" s="43" t="s">
        <v>42</v>
      </c>
      <c r="F4" s="44"/>
      <c r="G4" s="45"/>
      <c r="H4" s="40"/>
      <c r="I4" s="40"/>
      <c r="J4" s="40"/>
    </row>
    <row r="5" spans="1:10" ht="15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ht="15">
      <c r="A6" s="46"/>
      <c r="B6" s="36" t="s">
        <v>34</v>
      </c>
      <c r="C6" s="36" t="s">
        <v>14</v>
      </c>
      <c r="D6" s="47" t="s">
        <v>15</v>
      </c>
      <c r="E6" s="47" t="s">
        <v>16</v>
      </c>
      <c r="F6" s="47" t="s">
        <v>17</v>
      </c>
      <c r="G6" s="47" t="s">
        <v>18</v>
      </c>
      <c r="H6" s="48" t="s">
        <v>8</v>
      </c>
    </row>
    <row r="7" spans="1:10" ht="15">
      <c r="A7" s="49" t="s">
        <v>19</v>
      </c>
      <c r="B7" s="50" cm="1">
        <f t="array" aca="1" ref="B7" ca="1">INDIRECT(B6&amp;"!$n$37")</f>
        <v>8</v>
      </c>
      <c r="C7" s="50" cm="1">
        <f t="array" aca="1" ref="C7" ca="1">INDIRECT(C6&amp;"!$n$37")</f>
        <v>18.510000000000002</v>
      </c>
      <c r="D7" s="50" cm="1">
        <f t="array" aca="1" ref="D7" ca="1">INDIRECT(D6&amp;"!$n$37")</f>
        <v>59.61</v>
      </c>
      <c r="E7" s="50" cm="1">
        <f t="array" aca="1" ref="E7" ca="1">INDIRECT(E6&amp;"!$n$37")</f>
        <v>57</v>
      </c>
      <c r="F7" s="50" cm="1">
        <f t="array" aca="1" ref="F7" ca="1">INDIRECT(F6&amp;"!$n$37")</f>
        <v>0</v>
      </c>
      <c r="G7" s="50" cm="1">
        <f t="array" aca="1" ref="G7" ca="1">INDIRECT(G6&amp;"!$n$37")</f>
        <v>0</v>
      </c>
      <c r="H7" s="51">
        <f ca="1">SUM(B7:G7)</f>
        <v>143.12</v>
      </c>
    </row>
    <row r="8" spans="1:10" ht="15">
      <c r="A8" s="52" t="s">
        <v>20</v>
      </c>
      <c r="B8" s="53">
        <f ca="1">$D$4*B7</f>
        <v>17600</v>
      </c>
      <c r="C8" s="53">
        <f ca="1">$D$4*C7</f>
        <v>40722</v>
      </c>
      <c r="D8" s="53">
        <f ca="1">$D$4*D7</f>
        <v>131142</v>
      </c>
      <c r="E8" s="53">
        <f t="shared" ref="E8:G8" ca="1" si="0">$D$4*E7</f>
        <v>125400</v>
      </c>
      <c r="F8" s="53">
        <f t="shared" ca="1" si="0"/>
        <v>0</v>
      </c>
      <c r="G8" s="53">
        <f t="shared" ca="1" si="0"/>
        <v>0</v>
      </c>
      <c r="H8" s="68">
        <f ca="1">SUM(B8:G8)</f>
        <v>314864</v>
      </c>
    </row>
  </sheetData>
  <mergeCells count="6">
    <mergeCell ref="A4:C4"/>
    <mergeCell ref="A1:C1"/>
    <mergeCell ref="A3:B3"/>
    <mergeCell ref="D3:H3"/>
    <mergeCell ref="D2:H2"/>
    <mergeCell ref="A2:B2"/>
  </mergeCells>
  <phoneticPr fontId="3"/>
  <conditionalFormatting sqref="D1">
    <cfRule type="containsBlanks" dxfId="8" priority="3">
      <formula>LEN(TRIM(D1))=0</formula>
    </cfRule>
  </conditionalFormatting>
  <conditionalFormatting sqref="D2:H3 D4">
    <cfRule type="cellIs" dxfId="7" priority="2" operator="equal">
      <formula>""</formula>
    </cfRule>
  </conditionalFormatting>
  <conditionalFormatting sqref="E1">
    <cfRule type="cellIs" dxfId="6" priority="4" operator="equal">
      <formula>""</formula>
    </cfRule>
  </conditionalFormatting>
  <dataValidations count="1">
    <dataValidation type="list" allowBlank="1" showInputMessage="1" showErrorMessage="1" sqref="D1" xr:uid="{CF9D7018-9F42-4B86-BCB2-649A568B5140}">
      <formula1>"西暦,令和,平成"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835B-2C2C-486F-B865-8FEF4C0C4F90}">
  <sheetPr>
    <tabColor rgb="FFFFFF00"/>
    <pageSetUpPr fitToPage="1"/>
  </sheetPr>
  <dimension ref="A1:R42"/>
  <sheetViews>
    <sheetView workbookViewId="0">
      <selection activeCell="H17" sqref="H17"/>
    </sheetView>
  </sheetViews>
  <sheetFormatPr baseColWidth="10" defaultColWidth="8.1640625" defaultRowHeight="14"/>
  <cols>
    <col min="1" max="1" width="3.6640625" style="60" customWidth="1"/>
    <col min="2" max="2" width="2.83203125" style="60" customWidth="1"/>
    <col min="3" max="8" width="6" style="66" customWidth="1"/>
    <col min="9" max="14" width="6" style="55" customWidth="1"/>
    <col min="15" max="16384" width="8.1640625" style="55"/>
  </cols>
  <sheetData>
    <row r="1" spans="1:18" ht="20" customHeight="1">
      <c r="A1" s="71" t="s">
        <v>36</v>
      </c>
      <c r="B1" s="72"/>
      <c r="C1" s="72"/>
      <c r="D1" s="72"/>
      <c r="E1" s="54"/>
      <c r="F1" s="1"/>
      <c r="G1" s="2"/>
      <c r="H1" s="2" t="s">
        <v>25</v>
      </c>
      <c r="I1" s="54"/>
      <c r="J1" s="54"/>
      <c r="K1" s="54"/>
      <c r="L1" s="54"/>
      <c r="M1" s="1"/>
      <c r="N1" s="1"/>
    </row>
    <row r="2" spans="1:18" ht="20" customHeight="1">
      <c r="A2" s="73" t="s">
        <v>23</v>
      </c>
      <c r="B2" s="73"/>
      <c r="C2" s="73"/>
      <c r="D2" s="83" t="str">
        <f>IFERROR(総括表_水色のセルを入力!D2,"")</f>
        <v>李弦チョル</v>
      </c>
      <c r="E2" s="84"/>
      <c r="F2" s="84"/>
      <c r="G2" s="84"/>
      <c r="H2" s="84"/>
      <c r="I2" s="57" t="s">
        <v>24</v>
      </c>
      <c r="J2" s="83" t="str">
        <f>IFERROR(総括表_水色のセルを入力!D3,"")</f>
        <v>谷口 英</v>
      </c>
      <c r="K2" s="84"/>
      <c r="L2" s="84"/>
      <c r="M2" s="84"/>
      <c r="N2" s="84"/>
      <c r="P2" s="58"/>
    </row>
    <row r="3" spans="1:18" ht="20" customHeight="1">
      <c r="A3" s="59"/>
      <c r="B3" s="59"/>
      <c r="C3" s="59"/>
      <c r="D3" s="56"/>
      <c r="E3" s="3"/>
      <c r="F3" s="3"/>
      <c r="G3" s="3"/>
      <c r="H3" s="3"/>
      <c r="I3" s="56"/>
      <c r="J3" s="56"/>
      <c r="K3" s="56"/>
      <c r="L3" s="56"/>
      <c r="M3" s="3"/>
      <c r="N3" s="3"/>
      <c r="O3" s="70"/>
      <c r="P3" s="70"/>
      <c r="Q3" s="70"/>
      <c r="R3" s="70"/>
    </row>
    <row r="4" spans="1:18" s="60" customFormat="1" ht="20" customHeight="1">
      <c r="A4" s="74" t="s">
        <v>0</v>
      </c>
      <c r="B4" s="76" t="s">
        <v>1</v>
      </c>
      <c r="C4" s="78" t="s">
        <v>2</v>
      </c>
      <c r="D4" s="79"/>
      <c r="E4" s="79"/>
      <c r="F4" s="80"/>
      <c r="G4" s="81" t="s">
        <v>3</v>
      </c>
      <c r="H4" s="81" t="s">
        <v>4</v>
      </c>
      <c r="I4" s="88" t="s">
        <v>5</v>
      </c>
      <c r="J4" s="88"/>
      <c r="K4" s="88"/>
      <c r="L4" s="88"/>
      <c r="M4" s="88"/>
      <c r="N4" s="89"/>
    </row>
    <row r="5" spans="1:18" s="60" customFormat="1" ht="20" customHeight="1" thickBot="1">
      <c r="A5" s="75"/>
      <c r="B5" s="77"/>
      <c r="C5" s="61" t="s">
        <v>6</v>
      </c>
      <c r="D5" s="62" t="s">
        <v>7</v>
      </c>
      <c r="E5" s="63" t="s">
        <v>6</v>
      </c>
      <c r="F5" s="62" t="s">
        <v>7</v>
      </c>
      <c r="G5" s="82"/>
      <c r="H5" s="82"/>
      <c r="I5" s="90"/>
      <c r="J5" s="90"/>
      <c r="K5" s="90"/>
      <c r="L5" s="90"/>
      <c r="M5" s="90"/>
      <c r="N5" s="91"/>
    </row>
    <row r="6" spans="1:18" ht="20" customHeight="1" thickTop="1">
      <c r="A6" s="4">
        <v>45890</v>
      </c>
      <c r="B6" s="5" t="str">
        <f>TEXT(A6,"aaa")</f>
        <v>木</v>
      </c>
      <c r="C6" s="6"/>
      <c r="D6" s="7"/>
      <c r="E6" s="8"/>
      <c r="F6" s="9"/>
      <c r="G6" s="10"/>
      <c r="H6" s="11" t="str">
        <f t="shared" ref="H6:H36" si="0">IF((D6-C6)+(F6-E6)-G6=0,"",(D6-C6)+(F6-E6)-G6)</f>
        <v/>
      </c>
      <c r="I6" s="92"/>
      <c r="J6" s="93"/>
      <c r="K6" s="93"/>
      <c r="L6" s="93"/>
      <c r="M6" s="93"/>
      <c r="N6" s="94"/>
    </row>
    <row r="7" spans="1:18" ht="20" customHeight="1">
      <c r="A7" s="12">
        <f t="shared" ref="A7:A16" si="1">A6+1</f>
        <v>45891</v>
      </c>
      <c r="B7" s="13" t="str">
        <f t="shared" ref="B7:B16" si="2">TEXT(A7,"aaa")</f>
        <v>金</v>
      </c>
      <c r="C7" s="14"/>
      <c r="D7" s="15"/>
      <c r="E7" s="16"/>
      <c r="F7" s="17"/>
      <c r="G7" s="18"/>
      <c r="H7" s="11" t="str">
        <f t="shared" si="0"/>
        <v/>
      </c>
      <c r="I7" s="117"/>
      <c r="J7" s="118"/>
      <c r="K7" s="118"/>
      <c r="L7" s="118"/>
      <c r="M7" s="118"/>
      <c r="N7" s="119"/>
    </row>
    <row r="8" spans="1:18" ht="20" customHeight="1">
      <c r="A8" s="12">
        <f t="shared" si="1"/>
        <v>45892</v>
      </c>
      <c r="B8" s="13" t="str">
        <f t="shared" si="2"/>
        <v>土</v>
      </c>
      <c r="C8" s="20"/>
      <c r="D8" s="21"/>
      <c r="E8" s="16"/>
      <c r="F8" s="17"/>
      <c r="G8" s="18"/>
      <c r="H8" s="11" t="str">
        <f t="shared" si="0"/>
        <v/>
      </c>
      <c r="I8" s="117"/>
      <c r="J8" s="118"/>
      <c r="K8" s="118"/>
      <c r="L8" s="118"/>
      <c r="M8" s="118"/>
      <c r="N8" s="119"/>
    </row>
    <row r="9" spans="1:18" ht="20" customHeight="1">
      <c r="A9" s="12">
        <f t="shared" si="1"/>
        <v>45893</v>
      </c>
      <c r="B9" s="13" t="str">
        <f t="shared" si="2"/>
        <v>日</v>
      </c>
      <c r="C9" s="20"/>
      <c r="D9" s="21"/>
      <c r="E9" s="16"/>
      <c r="F9" s="17"/>
      <c r="G9" s="18"/>
      <c r="H9" s="11" t="str">
        <f t="shared" si="0"/>
        <v/>
      </c>
      <c r="I9" s="120"/>
      <c r="J9" s="121"/>
      <c r="K9" s="121"/>
      <c r="L9" s="121"/>
      <c r="M9" s="121"/>
      <c r="N9" s="122"/>
    </row>
    <row r="10" spans="1:18" ht="20" customHeight="1">
      <c r="A10" s="12">
        <f t="shared" si="1"/>
        <v>45894</v>
      </c>
      <c r="B10" s="13" t="str">
        <f t="shared" si="2"/>
        <v>月</v>
      </c>
      <c r="C10" s="20"/>
      <c r="D10" s="21"/>
      <c r="E10" s="16"/>
      <c r="F10" s="17"/>
      <c r="G10" s="18"/>
      <c r="H10" s="11" t="str">
        <f t="shared" si="0"/>
        <v/>
      </c>
      <c r="I10" s="120"/>
      <c r="J10" s="121"/>
      <c r="K10" s="121"/>
      <c r="L10" s="121"/>
      <c r="M10" s="121"/>
      <c r="N10" s="122"/>
    </row>
    <row r="11" spans="1:18" ht="20" customHeight="1">
      <c r="A11" s="12">
        <f t="shared" si="1"/>
        <v>45895</v>
      </c>
      <c r="B11" s="13" t="str">
        <f t="shared" si="2"/>
        <v>火</v>
      </c>
      <c r="C11" s="6"/>
      <c r="D11" s="7"/>
      <c r="E11" s="24"/>
      <c r="F11" s="9"/>
      <c r="G11" s="25"/>
      <c r="H11" s="11" t="str">
        <f t="shared" si="0"/>
        <v/>
      </c>
      <c r="I11" s="120"/>
      <c r="J11" s="121"/>
      <c r="K11" s="121"/>
      <c r="L11" s="121"/>
      <c r="M11" s="121"/>
      <c r="N11" s="122"/>
    </row>
    <row r="12" spans="1:18" ht="20" customHeight="1">
      <c r="A12" s="12">
        <f t="shared" si="1"/>
        <v>45896</v>
      </c>
      <c r="B12" s="13" t="str">
        <f t="shared" si="2"/>
        <v>水</v>
      </c>
      <c r="C12" s="20"/>
      <c r="D12" s="21"/>
      <c r="E12" s="16"/>
      <c r="F12" s="17"/>
      <c r="G12" s="18"/>
      <c r="H12" s="11" t="str">
        <f t="shared" si="0"/>
        <v/>
      </c>
      <c r="I12" s="120"/>
      <c r="J12" s="121"/>
      <c r="K12" s="121"/>
      <c r="L12" s="121"/>
      <c r="M12" s="121"/>
      <c r="N12" s="122"/>
    </row>
    <row r="13" spans="1:18" ht="20" customHeight="1">
      <c r="A13" s="12">
        <f t="shared" si="1"/>
        <v>45897</v>
      </c>
      <c r="B13" s="13" t="str">
        <f t="shared" si="2"/>
        <v>木</v>
      </c>
      <c r="C13" s="20"/>
      <c r="D13" s="21"/>
      <c r="E13" s="16"/>
      <c r="F13" s="17"/>
      <c r="G13" s="18"/>
      <c r="H13" s="11" t="str">
        <f t="shared" si="0"/>
        <v/>
      </c>
      <c r="I13" s="120"/>
      <c r="J13" s="121"/>
      <c r="K13" s="121"/>
      <c r="L13" s="121"/>
      <c r="M13" s="121"/>
      <c r="N13" s="122"/>
    </row>
    <row r="14" spans="1:18" ht="20" customHeight="1">
      <c r="A14" s="12">
        <f t="shared" si="1"/>
        <v>45898</v>
      </c>
      <c r="B14" s="13" t="str">
        <f t="shared" si="2"/>
        <v>金</v>
      </c>
      <c r="C14" s="6">
        <v>0.625</v>
      </c>
      <c r="D14" s="7">
        <v>0.70833333333333337</v>
      </c>
      <c r="E14" s="24"/>
      <c r="F14" s="9"/>
      <c r="G14" s="25"/>
      <c r="H14" s="11">
        <f t="shared" si="0"/>
        <v>8.333333333333337E-2</v>
      </c>
      <c r="I14" s="117" t="s">
        <v>45</v>
      </c>
      <c r="J14" s="118"/>
      <c r="K14" s="118"/>
      <c r="L14" s="118"/>
      <c r="M14" s="118"/>
      <c r="N14" s="119"/>
    </row>
    <row r="15" spans="1:18" ht="20" customHeight="1">
      <c r="A15" s="12">
        <f t="shared" si="1"/>
        <v>45899</v>
      </c>
      <c r="B15" s="13" t="str">
        <f t="shared" si="2"/>
        <v>土</v>
      </c>
      <c r="C15" s="14">
        <v>0.625</v>
      </c>
      <c r="D15" s="15">
        <v>0.70833333333333337</v>
      </c>
      <c r="E15" s="16"/>
      <c r="F15" s="17"/>
      <c r="G15" s="18"/>
      <c r="H15" s="11">
        <f t="shared" si="0"/>
        <v>8.333333333333337E-2</v>
      </c>
      <c r="I15" s="117" t="s">
        <v>45</v>
      </c>
      <c r="J15" s="118"/>
      <c r="K15" s="118"/>
      <c r="L15" s="118"/>
      <c r="M15" s="118"/>
      <c r="N15" s="119"/>
    </row>
    <row r="16" spans="1:18" ht="20" customHeight="1">
      <c r="A16" s="12">
        <f t="shared" si="1"/>
        <v>45900</v>
      </c>
      <c r="B16" s="13" t="str">
        <f t="shared" si="2"/>
        <v>日</v>
      </c>
      <c r="C16" s="20">
        <v>0.625</v>
      </c>
      <c r="D16" s="21">
        <v>0.79166666666666663</v>
      </c>
      <c r="E16" s="16"/>
      <c r="F16" s="17"/>
      <c r="G16" s="18"/>
      <c r="H16" s="11">
        <f t="shared" si="0"/>
        <v>0.16666666666666663</v>
      </c>
      <c r="I16" s="117" t="s">
        <v>45</v>
      </c>
      <c r="J16" s="118"/>
      <c r="K16" s="118"/>
      <c r="L16" s="118"/>
      <c r="M16" s="118"/>
      <c r="N16" s="119"/>
    </row>
    <row r="17" spans="1:14" ht="20" customHeight="1">
      <c r="A17" s="12"/>
      <c r="B17" s="13"/>
      <c r="C17" s="6"/>
      <c r="D17" s="7"/>
      <c r="E17" s="24"/>
      <c r="F17" s="9"/>
      <c r="G17" s="25"/>
      <c r="H17" s="11" t="str">
        <f t="shared" si="0"/>
        <v/>
      </c>
      <c r="I17" s="120"/>
      <c r="J17" s="121"/>
      <c r="K17" s="121"/>
      <c r="L17" s="121"/>
      <c r="M17" s="121"/>
      <c r="N17" s="122"/>
    </row>
    <row r="18" spans="1:14" ht="20" customHeight="1">
      <c r="A18" s="12"/>
      <c r="B18" s="13"/>
      <c r="C18" s="20"/>
      <c r="D18" s="21"/>
      <c r="E18" s="16"/>
      <c r="F18" s="17"/>
      <c r="G18" s="18"/>
      <c r="H18" s="11" t="str">
        <f t="shared" si="0"/>
        <v/>
      </c>
      <c r="I18" s="120"/>
      <c r="J18" s="121"/>
      <c r="K18" s="121"/>
      <c r="L18" s="121"/>
      <c r="M18" s="121"/>
      <c r="N18" s="122"/>
    </row>
    <row r="19" spans="1:14" ht="20" customHeight="1">
      <c r="A19" s="12"/>
      <c r="B19" s="13"/>
      <c r="C19" s="20"/>
      <c r="D19" s="21"/>
      <c r="E19" s="16"/>
      <c r="F19" s="17"/>
      <c r="G19" s="18"/>
      <c r="H19" s="11" t="str">
        <f t="shared" si="0"/>
        <v/>
      </c>
      <c r="I19" s="120"/>
      <c r="J19" s="121"/>
      <c r="K19" s="121"/>
      <c r="L19" s="121"/>
      <c r="M19" s="121"/>
      <c r="N19" s="122"/>
    </row>
    <row r="20" spans="1:14" ht="20" customHeight="1">
      <c r="A20" s="12"/>
      <c r="B20" s="13"/>
      <c r="C20" s="6"/>
      <c r="D20" s="7"/>
      <c r="E20" s="24"/>
      <c r="F20" s="9"/>
      <c r="G20" s="25"/>
      <c r="H20" s="11" t="str">
        <f t="shared" si="0"/>
        <v/>
      </c>
      <c r="I20" s="120"/>
      <c r="J20" s="121"/>
      <c r="K20" s="121"/>
      <c r="L20" s="121"/>
      <c r="M20" s="121"/>
      <c r="N20" s="122"/>
    </row>
    <row r="21" spans="1:14" ht="20" customHeight="1">
      <c r="A21" s="12"/>
      <c r="B21" s="13"/>
      <c r="C21" s="20"/>
      <c r="D21" s="21"/>
      <c r="E21" s="16"/>
      <c r="F21" s="17"/>
      <c r="G21" s="18"/>
      <c r="H21" s="11" t="str">
        <f t="shared" si="0"/>
        <v/>
      </c>
      <c r="I21" s="117"/>
      <c r="J21" s="118"/>
      <c r="K21" s="118"/>
      <c r="L21" s="118"/>
      <c r="M21" s="118"/>
      <c r="N21" s="119"/>
    </row>
    <row r="22" spans="1:14" ht="20" customHeight="1">
      <c r="A22" s="12"/>
      <c r="B22" s="13"/>
      <c r="C22" s="20"/>
      <c r="D22" s="21"/>
      <c r="E22" s="16"/>
      <c r="F22" s="17"/>
      <c r="G22" s="18"/>
      <c r="H22" s="11" t="str">
        <f t="shared" si="0"/>
        <v/>
      </c>
      <c r="I22" s="120"/>
      <c r="J22" s="121"/>
      <c r="K22" s="121"/>
      <c r="L22" s="121"/>
      <c r="M22" s="121"/>
      <c r="N22" s="122"/>
    </row>
    <row r="23" spans="1:14" ht="20" customHeight="1">
      <c r="A23" s="12"/>
      <c r="B23" s="13"/>
      <c r="C23" s="6"/>
      <c r="D23" s="7"/>
      <c r="E23" s="24"/>
      <c r="F23" s="9"/>
      <c r="G23" s="25"/>
      <c r="H23" s="11" t="str">
        <f t="shared" si="0"/>
        <v/>
      </c>
      <c r="I23" s="120"/>
      <c r="J23" s="121"/>
      <c r="K23" s="121"/>
      <c r="L23" s="121"/>
      <c r="M23" s="121"/>
      <c r="N23" s="122"/>
    </row>
    <row r="24" spans="1:14" ht="20" customHeight="1">
      <c r="A24" s="12"/>
      <c r="B24" s="13"/>
      <c r="C24" s="20"/>
      <c r="D24" s="21"/>
      <c r="E24" s="16"/>
      <c r="F24" s="17"/>
      <c r="G24" s="18"/>
      <c r="H24" s="11" t="str">
        <f t="shared" si="0"/>
        <v/>
      </c>
      <c r="I24" s="120"/>
      <c r="J24" s="121"/>
      <c r="K24" s="121"/>
      <c r="L24" s="121"/>
      <c r="M24" s="121"/>
      <c r="N24" s="122"/>
    </row>
    <row r="25" spans="1:14" ht="20" customHeight="1">
      <c r="A25" s="12"/>
      <c r="B25" s="13"/>
      <c r="C25" s="20"/>
      <c r="D25" s="21"/>
      <c r="E25" s="16"/>
      <c r="F25" s="17"/>
      <c r="G25" s="18"/>
      <c r="H25" s="11" t="str">
        <f t="shared" si="0"/>
        <v/>
      </c>
      <c r="I25" s="120"/>
      <c r="J25" s="121"/>
      <c r="K25" s="121"/>
      <c r="L25" s="121"/>
      <c r="M25" s="121"/>
      <c r="N25" s="122"/>
    </row>
    <row r="26" spans="1:14" ht="20" customHeight="1">
      <c r="A26" s="12"/>
      <c r="B26" s="13"/>
      <c r="C26" s="6"/>
      <c r="D26" s="7"/>
      <c r="E26" s="24"/>
      <c r="F26" s="9"/>
      <c r="G26" s="25"/>
      <c r="H26" s="11" t="str">
        <f t="shared" si="0"/>
        <v/>
      </c>
      <c r="I26" s="120"/>
      <c r="J26" s="121"/>
      <c r="K26" s="121"/>
      <c r="L26" s="121"/>
      <c r="M26" s="121"/>
      <c r="N26" s="122"/>
    </row>
    <row r="27" spans="1:14" ht="20" customHeight="1">
      <c r="A27" s="12"/>
      <c r="B27" s="13"/>
      <c r="C27" s="20"/>
      <c r="D27" s="21"/>
      <c r="E27" s="16"/>
      <c r="F27" s="17"/>
      <c r="G27" s="18"/>
      <c r="H27" s="11" t="str">
        <f t="shared" si="0"/>
        <v/>
      </c>
      <c r="I27" s="120"/>
      <c r="J27" s="121"/>
      <c r="K27" s="121"/>
      <c r="L27" s="121"/>
      <c r="M27" s="121"/>
      <c r="N27" s="122"/>
    </row>
    <row r="28" spans="1:14" ht="20" customHeight="1">
      <c r="A28" s="12"/>
      <c r="B28" s="13"/>
      <c r="C28" s="20"/>
      <c r="D28" s="21"/>
      <c r="E28" s="16"/>
      <c r="F28" s="17"/>
      <c r="G28" s="18"/>
      <c r="H28" s="11" t="str">
        <f t="shared" si="0"/>
        <v/>
      </c>
      <c r="I28" s="117"/>
      <c r="J28" s="118"/>
      <c r="K28" s="118"/>
      <c r="L28" s="118"/>
      <c r="M28" s="118"/>
      <c r="N28" s="119"/>
    </row>
    <row r="29" spans="1:14" ht="20" customHeight="1">
      <c r="A29" s="12"/>
      <c r="B29" s="13"/>
      <c r="C29" s="6"/>
      <c r="D29" s="7"/>
      <c r="E29" s="24"/>
      <c r="F29" s="9"/>
      <c r="G29" s="25"/>
      <c r="H29" s="11" t="str">
        <f t="shared" si="0"/>
        <v/>
      </c>
      <c r="I29" s="120"/>
      <c r="J29" s="121"/>
      <c r="K29" s="121"/>
      <c r="L29" s="121"/>
      <c r="M29" s="121"/>
      <c r="N29" s="122"/>
    </row>
    <row r="30" spans="1:14" ht="20" customHeight="1">
      <c r="A30" s="12"/>
      <c r="B30" s="13"/>
      <c r="C30" s="20"/>
      <c r="D30" s="21"/>
      <c r="E30" s="16"/>
      <c r="F30" s="17"/>
      <c r="G30" s="18"/>
      <c r="H30" s="11" t="str">
        <f t="shared" si="0"/>
        <v/>
      </c>
      <c r="I30" s="120"/>
      <c r="J30" s="121"/>
      <c r="K30" s="121"/>
      <c r="L30" s="121"/>
      <c r="M30" s="121"/>
      <c r="N30" s="122"/>
    </row>
    <row r="31" spans="1:14" ht="20" customHeight="1">
      <c r="A31" s="12"/>
      <c r="B31" s="13"/>
      <c r="C31" s="20"/>
      <c r="D31" s="21"/>
      <c r="E31" s="16"/>
      <c r="F31" s="17"/>
      <c r="G31" s="18"/>
      <c r="H31" s="11" t="str">
        <f t="shared" si="0"/>
        <v/>
      </c>
      <c r="I31" s="120"/>
      <c r="J31" s="121"/>
      <c r="K31" s="121"/>
      <c r="L31" s="121"/>
      <c r="M31" s="121"/>
      <c r="N31" s="122"/>
    </row>
    <row r="32" spans="1:14" ht="20" customHeight="1">
      <c r="A32" s="12"/>
      <c r="B32" s="13"/>
      <c r="C32" s="6"/>
      <c r="D32" s="7"/>
      <c r="E32" s="24"/>
      <c r="F32" s="9"/>
      <c r="G32" s="25"/>
      <c r="H32" s="11" t="str">
        <f t="shared" si="0"/>
        <v/>
      </c>
      <c r="I32" s="120"/>
      <c r="J32" s="121"/>
      <c r="K32" s="121"/>
      <c r="L32" s="121"/>
      <c r="M32" s="121"/>
      <c r="N32" s="122"/>
    </row>
    <row r="33" spans="1:14" ht="20" customHeight="1">
      <c r="A33" s="12"/>
      <c r="B33" s="13"/>
      <c r="C33" s="20"/>
      <c r="D33" s="21"/>
      <c r="E33" s="16"/>
      <c r="F33" s="17"/>
      <c r="G33" s="18"/>
      <c r="H33" s="11" t="str">
        <f t="shared" si="0"/>
        <v/>
      </c>
      <c r="I33" s="120"/>
      <c r="J33" s="121"/>
      <c r="K33" s="121"/>
      <c r="L33" s="121"/>
      <c r="M33" s="121"/>
      <c r="N33" s="122"/>
    </row>
    <row r="34" spans="1:14" ht="20" customHeight="1">
      <c r="A34" s="12"/>
      <c r="B34" s="13"/>
      <c r="C34" s="20"/>
      <c r="D34" s="21"/>
      <c r="E34" s="16"/>
      <c r="F34" s="17"/>
      <c r="G34" s="18"/>
      <c r="H34" s="11" t="str">
        <f t="shared" si="0"/>
        <v/>
      </c>
      <c r="I34" s="120"/>
      <c r="J34" s="121"/>
      <c r="K34" s="121"/>
      <c r="L34" s="121"/>
      <c r="M34" s="121"/>
      <c r="N34" s="122"/>
    </row>
    <row r="35" spans="1:14" ht="20" customHeight="1">
      <c r="A35" s="12"/>
      <c r="B35" s="13"/>
      <c r="C35" s="20"/>
      <c r="D35" s="21"/>
      <c r="E35" s="16"/>
      <c r="F35" s="17"/>
      <c r="G35" s="25"/>
      <c r="H35" s="11" t="str">
        <f t="shared" si="0"/>
        <v/>
      </c>
      <c r="I35" s="117"/>
      <c r="J35" s="118"/>
      <c r="K35" s="118"/>
      <c r="L35" s="118"/>
      <c r="M35" s="118"/>
      <c r="N35" s="119"/>
    </row>
    <row r="36" spans="1:14" ht="20" customHeight="1" thickBot="1">
      <c r="A36" s="26"/>
      <c r="B36" s="27"/>
      <c r="C36" s="28"/>
      <c r="D36" s="29"/>
      <c r="E36" s="30"/>
      <c r="F36" s="31"/>
      <c r="G36" s="32"/>
      <c r="H36" s="33" t="str">
        <f t="shared" si="0"/>
        <v/>
      </c>
      <c r="I36" s="101"/>
      <c r="J36" s="102"/>
      <c r="K36" s="102"/>
      <c r="L36" s="102"/>
      <c r="M36" s="102"/>
      <c r="N36" s="103"/>
    </row>
    <row r="37" spans="1:14" ht="20" customHeight="1" thickTop="1">
      <c r="A37" s="85" t="s">
        <v>8</v>
      </c>
      <c r="B37" s="86"/>
      <c r="C37" s="87"/>
      <c r="D37" s="87"/>
      <c r="E37" s="87"/>
      <c r="F37" s="87"/>
      <c r="G37" s="87"/>
      <c r="H37" s="34">
        <f>SUM(H6:H36)</f>
        <v>0.33333333333333337</v>
      </c>
      <c r="I37" s="104" t="s">
        <v>9</v>
      </c>
      <c r="J37" s="104"/>
      <c r="K37" s="104"/>
      <c r="L37" s="104"/>
      <c r="M37" s="105"/>
      <c r="N37" s="35">
        <f>ROUNDDOWN(ROUND(H37*24*60,1)/60,2)</f>
        <v>8</v>
      </c>
    </row>
    <row r="38" spans="1:14" ht="20" customHeight="1">
      <c r="A38" s="64"/>
      <c r="B38" s="65"/>
    </row>
    <row r="39" spans="1:14" ht="20" customHeight="1">
      <c r="A39" s="67"/>
      <c r="B39" s="65"/>
    </row>
    <row r="40" spans="1:14" ht="20" customHeight="1">
      <c r="A40" s="67"/>
      <c r="B40" s="65"/>
    </row>
    <row r="41" spans="1:14" ht="20" customHeight="1">
      <c r="A41" s="67"/>
      <c r="B41" s="65"/>
    </row>
    <row r="42" spans="1:14" ht="20" customHeight="1">
      <c r="A42" s="67"/>
      <c r="B42" s="65"/>
    </row>
  </sheetData>
  <mergeCells count="44">
    <mergeCell ref="A4:A5"/>
    <mergeCell ref="B4:B5"/>
    <mergeCell ref="C4:F4"/>
    <mergeCell ref="G4:G5"/>
    <mergeCell ref="H4:H5"/>
    <mergeCell ref="A1:D1"/>
    <mergeCell ref="A2:C2"/>
    <mergeCell ref="D2:H2"/>
    <mergeCell ref="J2:N2"/>
    <mergeCell ref="O3:R3"/>
    <mergeCell ref="I16:N16"/>
    <mergeCell ref="I4:N5"/>
    <mergeCell ref="I6:N6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I28:N28"/>
    <mergeCell ref="I17:N17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27:N27"/>
    <mergeCell ref="I35:N35"/>
    <mergeCell ref="I36:N36"/>
    <mergeCell ref="A37:G37"/>
    <mergeCell ref="I37:M37"/>
    <mergeCell ref="I29:N29"/>
    <mergeCell ref="I30:N30"/>
    <mergeCell ref="I31:N31"/>
    <mergeCell ref="I32:N32"/>
    <mergeCell ref="I33:N33"/>
    <mergeCell ref="I34:N34"/>
  </mergeCells>
  <phoneticPr fontId="3"/>
  <conditionalFormatting sqref="A6:N36">
    <cfRule type="expression" dxfId="5" priority="1" stopIfTrue="1">
      <formula>OR($B6="土",$B6="日",$B6="祝",$B6="振",$I6="休日")</formula>
    </cfRule>
  </conditionalFormatting>
  <dataValidations count="2">
    <dataValidation type="time" operator="greaterThan" allowBlank="1" showInputMessage="1" showErrorMessage="1" errorTitle="時刻を入力して下さい。" error="0:01以上の時刻を入力して下さい。" sqref="F6:F36 D6:D36" xr:uid="{25D49709-41F3-465D-8187-2EA0ED3A623E}">
      <formula1>0</formula1>
    </dataValidation>
    <dataValidation type="time" allowBlank="1" showInputMessage="1" showErrorMessage="1" errorTitle="時刻を入力してください。" error="0:00から23:59までの時刻が入力できます。" sqref="C6:C36 G6:G36 E6:E36" xr:uid="{68FBD3BF-2B65-4265-95B1-C60D695BCE6A}">
      <formula1>0</formula1>
      <formula2>0.999988425925926</formula2>
    </dataValidation>
  </dataValidations>
  <pageMargins left="0.62992125984251968" right="0.23622047244094488" top="0.74803149606299213" bottom="0.74803149606299213" header="0.31496062992125984" footer="0.31496062992125984"/>
  <pageSetup paperSize="9" scale="9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E897-8B35-4530-9FBA-25EE21D86729}">
  <sheetPr>
    <tabColor rgb="FFFFFF00"/>
    <pageSetUpPr fitToPage="1"/>
  </sheetPr>
  <dimension ref="A1:R42"/>
  <sheetViews>
    <sheetView topLeftCell="A24" workbookViewId="0">
      <selection activeCell="P12" sqref="P12"/>
    </sheetView>
  </sheetViews>
  <sheetFormatPr baseColWidth="10" defaultColWidth="8.1640625" defaultRowHeight="14"/>
  <cols>
    <col min="1" max="1" width="3.6640625" style="60" customWidth="1"/>
    <col min="2" max="2" width="2.83203125" style="60" customWidth="1"/>
    <col min="3" max="8" width="6" style="66" customWidth="1"/>
    <col min="9" max="14" width="6" style="55" customWidth="1"/>
    <col min="15" max="16384" width="8.1640625" style="55"/>
  </cols>
  <sheetData>
    <row r="1" spans="1:18" ht="20" customHeight="1">
      <c r="A1" s="71" t="s">
        <v>37</v>
      </c>
      <c r="B1" s="72"/>
      <c r="C1" s="72"/>
      <c r="D1" s="72"/>
      <c r="E1" s="54"/>
      <c r="F1" s="1"/>
      <c r="G1" s="2"/>
      <c r="H1" s="2" t="s">
        <v>25</v>
      </c>
      <c r="I1" s="54"/>
      <c r="J1" s="54"/>
      <c r="K1" s="54"/>
      <c r="L1" s="54"/>
      <c r="M1" s="1"/>
      <c r="N1" s="1"/>
    </row>
    <row r="2" spans="1:18" ht="20" customHeight="1">
      <c r="A2" s="73" t="s">
        <v>23</v>
      </c>
      <c r="B2" s="73"/>
      <c r="C2" s="73"/>
      <c r="D2" s="83" t="str">
        <f>IFERROR(総括表_水色のセルを入力!D2,"")</f>
        <v>李弦チョル</v>
      </c>
      <c r="E2" s="84"/>
      <c r="F2" s="84"/>
      <c r="G2" s="84"/>
      <c r="H2" s="84"/>
      <c r="I2" s="57" t="s">
        <v>24</v>
      </c>
      <c r="J2" s="83" t="str">
        <f>IFERROR(総括表_水色のセルを入力!D3,"")</f>
        <v>谷口 英</v>
      </c>
      <c r="K2" s="84"/>
      <c r="L2" s="84"/>
      <c r="M2" s="84"/>
      <c r="N2" s="84"/>
      <c r="P2" s="58"/>
    </row>
    <row r="3" spans="1:18" ht="20" customHeight="1">
      <c r="A3" s="59"/>
      <c r="B3" s="59"/>
      <c r="C3" s="59"/>
      <c r="D3" s="56"/>
      <c r="E3" s="3"/>
      <c r="F3" s="3"/>
      <c r="G3" s="3"/>
      <c r="H3" s="3"/>
      <c r="I3" s="56"/>
      <c r="J3" s="56"/>
      <c r="K3" s="56"/>
      <c r="L3" s="56"/>
      <c r="M3" s="3"/>
      <c r="N3" s="3"/>
      <c r="O3" s="70"/>
      <c r="P3" s="70"/>
      <c r="Q3" s="70"/>
      <c r="R3" s="70"/>
    </row>
    <row r="4" spans="1:18" s="60" customFormat="1" ht="20" customHeight="1">
      <c r="A4" s="74" t="s">
        <v>0</v>
      </c>
      <c r="B4" s="76" t="s">
        <v>1</v>
      </c>
      <c r="C4" s="78" t="s">
        <v>2</v>
      </c>
      <c r="D4" s="79"/>
      <c r="E4" s="79"/>
      <c r="F4" s="80"/>
      <c r="G4" s="81" t="s">
        <v>3</v>
      </c>
      <c r="H4" s="81" t="s">
        <v>4</v>
      </c>
      <c r="I4" s="88" t="s">
        <v>5</v>
      </c>
      <c r="J4" s="88"/>
      <c r="K4" s="88"/>
      <c r="L4" s="88"/>
      <c r="M4" s="88"/>
      <c r="N4" s="89"/>
    </row>
    <row r="5" spans="1:18" s="60" customFormat="1" ht="20" customHeight="1" thickBot="1">
      <c r="A5" s="75"/>
      <c r="B5" s="77"/>
      <c r="C5" s="61" t="s">
        <v>6</v>
      </c>
      <c r="D5" s="62" t="s">
        <v>7</v>
      </c>
      <c r="E5" s="63" t="s">
        <v>6</v>
      </c>
      <c r="F5" s="62" t="s">
        <v>7</v>
      </c>
      <c r="G5" s="82"/>
      <c r="H5" s="82"/>
      <c r="I5" s="90"/>
      <c r="J5" s="90"/>
      <c r="K5" s="90"/>
      <c r="L5" s="90"/>
      <c r="M5" s="90"/>
      <c r="N5" s="91"/>
    </row>
    <row r="6" spans="1:18" ht="20" customHeight="1" thickTop="1">
      <c r="A6" s="4">
        <f>DATEVALUE(TEXT(SUBSTITUTE(SUBSTITUTE(SUBSTITUTE($A$1,"元","１"),"分",""),"度","")&amp;"１日","yyyy/mm/d"))</f>
        <v>45901</v>
      </c>
      <c r="B6" s="5" t="str">
        <f>TEXT(A6,"aaa")</f>
        <v>月</v>
      </c>
      <c r="C6" s="6">
        <v>0.79166666666666663</v>
      </c>
      <c r="D6" s="7">
        <v>1</v>
      </c>
      <c r="E6" s="8"/>
      <c r="F6" s="9"/>
      <c r="G6" s="10"/>
      <c r="H6" s="11">
        <f t="shared" ref="H6:H36" si="0">IF((D6-C6)+(F6-E6)-G6=0,"",(D6-C6)+(F6-E6)-G6)</f>
        <v>0.20833333333333337</v>
      </c>
      <c r="I6" s="92" t="s">
        <v>46</v>
      </c>
      <c r="J6" s="93"/>
      <c r="K6" s="93"/>
      <c r="L6" s="93"/>
      <c r="M6" s="93"/>
      <c r="N6" s="94"/>
    </row>
    <row r="7" spans="1:18" ht="20" customHeight="1">
      <c r="A7" s="12">
        <f t="shared" ref="A7:A33" si="1">A6+1</f>
        <v>45902</v>
      </c>
      <c r="B7" s="13" t="str">
        <f t="shared" ref="B7:B36" si="2">TEXT(A7,"aaa")</f>
        <v>火</v>
      </c>
      <c r="C7" s="14"/>
      <c r="D7" s="15"/>
      <c r="E7" s="16"/>
      <c r="F7" s="17"/>
      <c r="G7" s="18"/>
      <c r="H7" s="11" t="str">
        <f t="shared" si="0"/>
        <v/>
      </c>
      <c r="I7" s="117"/>
      <c r="J7" s="118"/>
      <c r="K7" s="118"/>
      <c r="L7" s="118"/>
      <c r="M7" s="118"/>
      <c r="N7" s="119"/>
    </row>
    <row r="8" spans="1:18" ht="20" customHeight="1">
      <c r="A8" s="19">
        <f t="shared" si="1"/>
        <v>45903</v>
      </c>
      <c r="B8" s="13" t="str">
        <f t="shared" si="2"/>
        <v>水</v>
      </c>
      <c r="C8" s="20"/>
      <c r="D8" s="21"/>
      <c r="E8" s="16"/>
      <c r="F8" s="17"/>
      <c r="G8" s="18"/>
      <c r="H8" s="11" t="str">
        <f t="shared" si="0"/>
        <v/>
      </c>
      <c r="I8" s="117"/>
      <c r="J8" s="118"/>
      <c r="K8" s="118"/>
      <c r="L8" s="118"/>
      <c r="M8" s="118"/>
      <c r="N8" s="119"/>
    </row>
    <row r="9" spans="1:18" ht="20" customHeight="1">
      <c r="A9" s="12">
        <f t="shared" si="1"/>
        <v>45904</v>
      </c>
      <c r="B9" s="13" t="str">
        <f t="shared" si="2"/>
        <v>木</v>
      </c>
      <c r="C9" s="20"/>
      <c r="D9" s="21"/>
      <c r="E9" s="16"/>
      <c r="F9" s="17"/>
      <c r="G9" s="18"/>
      <c r="H9" s="11" t="str">
        <f t="shared" si="0"/>
        <v/>
      </c>
      <c r="I9" s="120"/>
      <c r="J9" s="121"/>
      <c r="K9" s="121"/>
      <c r="L9" s="121"/>
      <c r="M9" s="121"/>
      <c r="N9" s="122"/>
    </row>
    <row r="10" spans="1:18" ht="20" customHeight="1">
      <c r="A10" s="12">
        <f t="shared" si="1"/>
        <v>45905</v>
      </c>
      <c r="B10" s="13" t="str">
        <f t="shared" si="2"/>
        <v>金</v>
      </c>
      <c r="C10" s="20"/>
      <c r="D10" s="21"/>
      <c r="E10" s="16"/>
      <c r="F10" s="17"/>
      <c r="G10" s="18"/>
      <c r="H10" s="11" t="str">
        <f t="shared" si="0"/>
        <v/>
      </c>
      <c r="I10" s="120"/>
      <c r="J10" s="121"/>
      <c r="K10" s="121"/>
      <c r="L10" s="121"/>
      <c r="M10" s="121"/>
      <c r="N10" s="122"/>
    </row>
    <row r="11" spans="1:18" ht="20" customHeight="1">
      <c r="A11" s="22">
        <f t="shared" si="1"/>
        <v>45906</v>
      </c>
      <c r="B11" s="23" t="str">
        <f t="shared" si="2"/>
        <v>土</v>
      </c>
      <c r="C11" s="6"/>
      <c r="D11" s="7"/>
      <c r="E11" s="24"/>
      <c r="F11" s="9"/>
      <c r="G11" s="25"/>
      <c r="H11" s="11" t="str">
        <f t="shared" si="0"/>
        <v/>
      </c>
      <c r="I11" s="120"/>
      <c r="J11" s="121"/>
      <c r="K11" s="121"/>
      <c r="L11" s="121"/>
      <c r="M11" s="121"/>
      <c r="N11" s="122"/>
    </row>
    <row r="12" spans="1:18" ht="20" customHeight="1">
      <c r="A12" s="22">
        <f t="shared" si="1"/>
        <v>45907</v>
      </c>
      <c r="B12" s="23" t="str">
        <f t="shared" si="2"/>
        <v>日</v>
      </c>
      <c r="C12" s="20">
        <v>0.64583333333333337</v>
      </c>
      <c r="D12" s="21">
        <v>0.72916666666666663</v>
      </c>
      <c r="E12" s="16"/>
      <c r="F12" s="17"/>
      <c r="G12" s="18"/>
      <c r="H12" s="11">
        <f t="shared" si="0"/>
        <v>8.3333333333333259E-2</v>
      </c>
      <c r="I12" s="120" t="s">
        <v>47</v>
      </c>
      <c r="J12" s="121"/>
      <c r="K12" s="121"/>
      <c r="L12" s="121"/>
      <c r="M12" s="121"/>
      <c r="N12" s="122"/>
    </row>
    <row r="13" spans="1:18" ht="20" customHeight="1">
      <c r="A13" s="12">
        <f t="shared" si="1"/>
        <v>45908</v>
      </c>
      <c r="B13" s="13" t="str">
        <f t="shared" si="2"/>
        <v>月</v>
      </c>
      <c r="C13" s="20">
        <v>0.41666666666666669</v>
      </c>
      <c r="D13" s="21">
        <v>0.45833333333333331</v>
      </c>
      <c r="E13" s="16">
        <v>0.5</v>
      </c>
      <c r="F13" s="17">
        <v>0.59375</v>
      </c>
      <c r="G13" s="18"/>
      <c r="H13" s="11">
        <f t="shared" si="0"/>
        <v>0.13541666666666663</v>
      </c>
      <c r="I13" s="120" t="s">
        <v>48</v>
      </c>
      <c r="J13" s="121"/>
      <c r="K13" s="121"/>
      <c r="L13" s="121"/>
      <c r="M13" s="121"/>
      <c r="N13" s="122"/>
    </row>
    <row r="14" spans="1:18" ht="20" customHeight="1">
      <c r="A14" s="12">
        <f t="shared" si="1"/>
        <v>45909</v>
      </c>
      <c r="B14" s="13" t="str">
        <f t="shared" si="2"/>
        <v>火</v>
      </c>
      <c r="C14" s="6"/>
      <c r="D14" s="7"/>
      <c r="E14" s="24"/>
      <c r="F14" s="9"/>
      <c r="G14" s="25"/>
      <c r="H14" s="11" t="str">
        <f t="shared" si="0"/>
        <v/>
      </c>
      <c r="I14" s="117"/>
      <c r="J14" s="118"/>
      <c r="K14" s="118"/>
      <c r="L14" s="118"/>
      <c r="M14" s="118"/>
      <c r="N14" s="119"/>
    </row>
    <row r="15" spans="1:18" ht="20" customHeight="1">
      <c r="A15" s="19">
        <f t="shared" si="1"/>
        <v>45910</v>
      </c>
      <c r="B15" s="13" t="str">
        <f t="shared" si="2"/>
        <v>水</v>
      </c>
      <c r="C15" s="20"/>
      <c r="D15" s="21"/>
      <c r="E15" s="16"/>
      <c r="F15" s="17"/>
      <c r="G15" s="18"/>
      <c r="H15" s="11" t="str">
        <f t="shared" si="0"/>
        <v/>
      </c>
      <c r="I15" s="120"/>
      <c r="J15" s="121"/>
      <c r="K15" s="121"/>
      <c r="L15" s="121"/>
      <c r="M15" s="121"/>
      <c r="N15" s="122"/>
    </row>
    <row r="16" spans="1:18" ht="20" customHeight="1">
      <c r="A16" s="12">
        <f t="shared" si="1"/>
        <v>45911</v>
      </c>
      <c r="B16" s="13" t="str">
        <f t="shared" si="2"/>
        <v>木</v>
      </c>
      <c r="C16" s="20">
        <v>0.60416666666666663</v>
      </c>
      <c r="D16" s="21">
        <v>0.6875</v>
      </c>
      <c r="E16" s="16"/>
      <c r="F16" s="17"/>
      <c r="G16" s="18"/>
      <c r="H16" s="11">
        <f t="shared" si="0"/>
        <v>8.333333333333337E-2</v>
      </c>
      <c r="I16" s="120" t="s">
        <v>49</v>
      </c>
      <c r="J16" s="121"/>
      <c r="K16" s="121"/>
      <c r="L16" s="121"/>
      <c r="M16" s="121"/>
      <c r="N16" s="122"/>
    </row>
    <row r="17" spans="1:14" ht="20" customHeight="1">
      <c r="A17" s="12">
        <f t="shared" si="1"/>
        <v>45912</v>
      </c>
      <c r="B17" s="13" t="str">
        <f t="shared" si="2"/>
        <v>金</v>
      </c>
      <c r="C17" s="6"/>
      <c r="D17" s="7"/>
      <c r="E17" s="24"/>
      <c r="F17" s="9"/>
      <c r="G17" s="25"/>
      <c r="H17" s="11" t="str">
        <f t="shared" si="0"/>
        <v/>
      </c>
      <c r="I17" s="120"/>
      <c r="J17" s="121"/>
      <c r="K17" s="121"/>
      <c r="L17" s="121"/>
      <c r="M17" s="121"/>
      <c r="N17" s="122"/>
    </row>
    <row r="18" spans="1:14" ht="20" customHeight="1">
      <c r="A18" s="12">
        <f t="shared" si="1"/>
        <v>45913</v>
      </c>
      <c r="B18" s="13" t="str">
        <f t="shared" si="2"/>
        <v>土</v>
      </c>
      <c r="C18" s="20">
        <v>0.97916666666666663</v>
      </c>
      <c r="D18" s="21">
        <v>1.0416666666666667</v>
      </c>
      <c r="E18" s="16"/>
      <c r="F18" s="17"/>
      <c r="G18" s="18"/>
      <c r="H18" s="11">
        <f t="shared" si="0"/>
        <v>6.2500000000000111E-2</v>
      </c>
      <c r="I18" s="120" t="s">
        <v>49</v>
      </c>
      <c r="J18" s="121"/>
      <c r="K18" s="121"/>
      <c r="L18" s="121"/>
      <c r="M18" s="121"/>
      <c r="N18" s="122"/>
    </row>
    <row r="19" spans="1:14" ht="20" customHeight="1">
      <c r="A19" s="12">
        <f t="shared" si="1"/>
        <v>45914</v>
      </c>
      <c r="B19" s="13" t="str">
        <f t="shared" si="2"/>
        <v>日</v>
      </c>
      <c r="C19" s="20">
        <v>0.89583333333333337</v>
      </c>
      <c r="D19" s="21">
        <v>1.0347222222222223</v>
      </c>
      <c r="E19" s="16"/>
      <c r="F19" s="17"/>
      <c r="G19" s="18">
        <v>2.0833333333333332E-2</v>
      </c>
      <c r="H19" s="11">
        <f t="shared" si="0"/>
        <v>0.11805555555555562</v>
      </c>
      <c r="I19" s="120" t="s">
        <v>50</v>
      </c>
      <c r="J19" s="121"/>
      <c r="K19" s="121"/>
      <c r="L19" s="121"/>
      <c r="M19" s="121"/>
      <c r="N19" s="122"/>
    </row>
    <row r="20" spans="1:14" ht="20" customHeight="1">
      <c r="A20" s="12">
        <f t="shared" si="1"/>
        <v>45915</v>
      </c>
      <c r="B20" s="13" t="str">
        <f t="shared" si="2"/>
        <v>月</v>
      </c>
      <c r="C20" s="6"/>
      <c r="D20" s="7"/>
      <c r="E20" s="24"/>
      <c r="F20" s="9"/>
      <c r="G20" s="25"/>
      <c r="H20" s="11" t="str">
        <f t="shared" si="0"/>
        <v/>
      </c>
      <c r="I20" s="120"/>
      <c r="J20" s="121"/>
      <c r="K20" s="121"/>
      <c r="L20" s="121"/>
      <c r="M20" s="121"/>
      <c r="N20" s="122"/>
    </row>
    <row r="21" spans="1:14" ht="20" customHeight="1">
      <c r="A21" s="12">
        <f t="shared" si="1"/>
        <v>45916</v>
      </c>
      <c r="B21" s="13" t="str">
        <f t="shared" si="2"/>
        <v>火</v>
      </c>
      <c r="C21" s="20"/>
      <c r="D21" s="21"/>
      <c r="E21" s="16"/>
      <c r="F21" s="17"/>
      <c r="G21" s="18"/>
      <c r="H21" s="11" t="str">
        <f t="shared" si="0"/>
        <v/>
      </c>
      <c r="I21" s="117"/>
      <c r="J21" s="118"/>
      <c r="K21" s="118"/>
      <c r="L21" s="118"/>
      <c r="M21" s="118"/>
      <c r="N21" s="119"/>
    </row>
    <row r="22" spans="1:14" ht="20" customHeight="1">
      <c r="A22" s="12">
        <f t="shared" si="1"/>
        <v>45917</v>
      </c>
      <c r="B22" s="13" t="str">
        <f t="shared" si="2"/>
        <v>水</v>
      </c>
      <c r="C22" s="20"/>
      <c r="D22" s="21"/>
      <c r="E22" s="16"/>
      <c r="F22" s="17"/>
      <c r="G22" s="18"/>
      <c r="H22" s="11" t="str">
        <f t="shared" si="0"/>
        <v/>
      </c>
      <c r="I22" s="120"/>
      <c r="J22" s="121"/>
      <c r="K22" s="121"/>
      <c r="L22" s="121"/>
      <c r="M22" s="121"/>
      <c r="N22" s="122"/>
    </row>
    <row r="23" spans="1:14" ht="20" customHeight="1">
      <c r="A23" s="12">
        <f t="shared" si="1"/>
        <v>45918</v>
      </c>
      <c r="B23" s="13" t="str">
        <f t="shared" si="2"/>
        <v>木</v>
      </c>
      <c r="C23" s="6"/>
      <c r="D23" s="7"/>
      <c r="E23" s="24"/>
      <c r="F23" s="9"/>
      <c r="G23" s="25"/>
      <c r="H23" s="11" t="str">
        <f t="shared" si="0"/>
        <v/>
      </c>
      <c r="I23" s="120"/>
      <c r="J23" s="121"/>
      <c r="K23" s="121"/>
      <c r="L23" s="121"/>
      <c r="M23" s="121"/>
      <c r="N23" s="122"/>
    </row>
    <row r="24" spans="1:14" ht="20" customHeight="1">
      <c r="A24" s="12">
        <f t="shared" si="1"/>
        <v>45919</v>
      </c>
      <c r="B24" s="13" t="str">
        <f t="shared" si="2"/>
        <v>金</v>
      </c>
      <c r="C24" s="20"/>
      <c r="D24" s="21"/>
      <c r="E24" s="16"/>
      <c r="F24" s="17"/>
      <c r="G24" s="18"/>
      <c r="H24" s="11" t="str">
        <f t="shared" si="0"/>
        <v/>
      </c>
      <c r="I24" s="120"/>
      <c r="J24" s="121"/>
      <c r="K24" s="121"/>
      <c r="L24" s="121"/>
      <c r="M24" s="121"/>
      <c r="N24" s="122"/>
    </row>
    <row r="25" spans="1:14" ht="20" customHeight="1">
      <c r="A25" s="12">
        <f t="shared" si="1"/>
        <v>45920</v>
      </c>
      <c r="B25" s="13" t="str">
        <f t="shared" si="2"/>
        <v>土</v>
      </c>
      <c r="C25" s="20"/>
      <c r="D25" s="21"/>
      <c r="E25" s="16"/>
      <c r="F25" s="17"/>
      <c r="G25" s="18"/>
      <c r="H25" s="11" t="str">
        <f t="shared" si="0"/>
        <v/>
      </c>
      <c r="I25" s="120"/>
      <c r="J25" s="121"/>
      <c r="K25" s="121"/>
      <c r="L25" s="121"/>
      <c r="M25" s="121"/>
      <c r="N25" s="122"/>
    </row>
    <row r="26" spans="1:14" ht="20" customHeight="1">
      <c r="A26" s="12">
        <f t="shared" si="1"/>
        <v>45921</v>
      </c>
      <c r="B26" s="13" t="str">
        <f t="shared" si="2"/>
        <v>日</v>
      </c>
      <c r="C26" s="6"/>
      <c r="D26" s="7"/>
      <c r="E26" s="24"/>
      <c r="F26" s="9"/>
      <c r="G26" s="25"/>
      <c r="H26" s="11" t="str">
        <f t="shared" si="0"/>
        <v/>
      </c>
      <c r="I26" s="120"/>
      <c r="J26" s="121"/>
      <c r="K26" s="121"/>
      <c r="L26" s="121"/>
      <c r="M26" s="121"/>
      <c r="N26" s="122"/>
    </row>
    <row r="27" spans="1:14" ht="20" customHeight="1">
      <c r="A27" s="12">
        <f t="shared" si="1"/>
        <v>45922</v>
      </c>
      <c r="B27" s="13" t="str">
        <f t="shared" si="2"/>
        <v>月</v>
      </c>
      <c r="C27" s="20">
        <v>0.41111111111111109</v>
      </c>
      <c r="D27" s="21">
        <v>0.47083333333333333</v>
      </c>
      <c r="E27" s="16">
        <v>0.54166666666666663</v>
      </c>
      <c r="F27" s="17">
        <v>0.5625</v>
      </c>
      <c r="G27" s="18"/>
      <c r="H27" s="11">
        <f t="shared" si="0"/>
        <v>8.0555555555555602E-2</v>
      </c>
      <c r="I27" s="120" t="s">
        <v>51</v>
      </c>
      <c r="J27" s="121"/>
      <c r="K27" s="121"/>
      <c r="L27" s="121"/>
      <c r="M27" s="121"/>
      <c r="N27" s="122"/>
    </row>
    <row r="28" spans="1:14" ht="20" customHeight="1">
      <c r="A28" s="12">
        <f t="shared" si="1"/>
        <v>45923</v>
      </c>
      <c r="B28" s="13" t="str">
        <f t="shared" si="2"/>
        <v>火</v>
      </c>
      <c r="C28" s="20"/>
      <c r="D28" s="21"/>
      <c r="E28" s="16"/>
      <c r="F28" s="17"/>
      <c r="G28" s="18"/>
      <c r="H28" s="11" t="str">
        <f t="shared" si="0"/>
        <v/>
      </c>
      <c r="I28" s="117"/>
      <c r="J28" s="118"/>
      <c r="K28" s="118"/>
      <c r="L28" s="118"/>
      <c r="M28" s="118"/>
      <c r="N28" s="119"/>
    </row>
    <row r="29" spans="1:14" ht="20" customHeight="1">
      <c r="A29" s="12">
        <f t="shared" si="1"/>
        <v>45924</v>
      </c>
      <c r="B29" s="13" t="str">
        <f t="shared" si="2"/>
        <v>水</v>
      </c>
      <c r="C29" s="6"/>
      <c r="D29" s="7"/>
      <c r="E29" s="24"/>
      <c r="F29" s="9"/>
      <c r="G29" s="25"/>
      <c r="H29" s="11" t="str">
        <f t="shared" si="0"/>
        <v/>
      </c>
      <c r="I29" s="120"/>
      <c r="J29" s="121"/>
      <c r="K29" s="121"/>
      <c r="L29" s="121"/>
      <c r="M29" s="121"/>
      <c r="N29" s="122"/>
    </row>
    <row r="30" spans="1:14" ht="20" customHeight="1">
      <c r="A30" s="12">
        <f t="shared" si="1"/>
        <v>45925</v>
      </c>
      <c r="B30" s="13" t="str">
        <f t="shared" si="2"/>
        <v>木</v>
      </c>
      <c r="C30" s="20"/>
      <c r="D30" s="21"/>
      <c r="E30" s="16"/>
      <c r="F30" s="17"/>
      <c r="G30" s="18"/>
      <c r="H30" s="11" t="str">
        <f t="shared" si="0"/>
        <v/>
      </c>
      <c r="I30" s="120"/>
      <c r="J30" s="121"/>
      <c r="K30" s="121"/>
      <c r="L30" s="121"/>
      <c r="M30" s="121"/>
      <c r="N30" s="122"/>
    </row>
    <row r="31" spans="1:14" ht="20" customHeight="1">
      <c r="A31" s="12">
        <f t="shared" si="1"/>
        <v>45926</v>
      </c>
      <c r="B31" s="13" t="str">
        <f t="shared" si="2"/>
        <v>金</v>
      </c>
      <c r="C31" s="20"/>
      <c r="D31" s="21"/>
      <c r="E31" s="16"/>
      <c r="F31" s="17"/>
      <c r="G31" s="18"/>
      <c r="H31" s="11" t="str">
        <f t="shared" si="0"/>
        <v/>
      </c>
      <c r="I31" s="120"/>
      <c r="J31" s="121"/>
      <c r="K31" s="121"/>
      <c r="L31" s="121"/>
      <c r="M31" s="121"/>
      <c r="N31" s="122"/>
    </row>
    <row r="32" spans="1:14" ht="20" customHeight="1">
      <c r="A32" s="12">
        <f t="shared" si="1"/>
        <v>45927</v>
      </c>
      <c r="B32" s="13" t="str">
        <f t="shared" si="2"/>
        <v>土</v>
      </c>
      <c r="C32" s="6"/>
      <c r="D32" s="7"/>
      <c r="E32" s="24"/>
      <c r="F32" s="9"/>
      <c r="G32" s="25"/>
      <c r="H32" s="11" t="str">
        <f t="shared" si="0"/>
        <v/>
      </c>
      <c r="I32" s="120"/>
      <c r="J32" s="121"/>
      <c r="K32" s="121"/>
      <c r="L32" s="121"/>
      <c r="M32" s="121"/>
      <c r="N32" s="122"/>
    </row>
    <row r="33" spans="1:14" ht="20" customHeight="1">
      <c r="A33" s="12">
        <f t="shared" si="1"/>
        <v>45928</v>
      </c>
      <c r="B33" s="13" t="str">
        <f t="shared" si="2"/>
        <v>日</v>
      </c>
      <c r="C33" s="20"/>
      <c r="D33" s="21"/>
      <c r="E33" s="16"/>
      <c r="F33" s="17"/>
      <c r="G33" s="18"/>
      <c r="H33" s="11" t="str">
        <f t="shared" si="0"/>
        <v/>
      </c>
      <c r="I33" s="120"/>
      <c r="J33" s="121"/>
      <c r="K33" s="121"/>
      <c r="L33" s="121"/>
      <c r="M33" s="121"/>
      <c r="N33" s="122"/>
    </row>
    <row r="34" spans="1:14" ht="20" customHeight="1">
      <c r="A34" s="12">
        <f>IF(DAY(A33+1)&lt;4,"",A33+1)</f>
        <v>45929</v>
      </c>
      <c r="B34" s="13" t="str">
        <f t="shared" si="2"/>
        <v>月</v>
      </c>
      <c r="C34" s="20"/>
      <c r="D34" s="21"/>
      <c r="E34" s="16"/>
      <c r="F34" s="17"/>
      <c r="G34" s="18"/>
      <c r="H34" s="11" t="str">
        <f t="shared" si="0"/>
        <v/>
      </c>
      <c r="I34" s="120"/>
      <c r="J34" s="121"/>
      <c r="K34" s="121"/>
      <c r="L34" s="121"/>
      <c r="M34" s="121"/>
      <c r="N34" s="122"/>
    </row>
    <row r="35" spans="1:14" ht="20" customHeight="1">
      <c r="A35" s="12">
        <f>IF(DAY(A33+2)&lt;4,"",A33+2)</f>
        <v>45930</v>
      </c>
      <c r="B35" s="13" t="str">
        <f t="shared" si="2"/>
        <v>火</v>
      </c>
      <c r="C35" s="20"/>
      <c r="D35" s="21"/>
      <c r="E35" s="16"/>
      <c r="F35" s="17"/>
      <c r="G35" s="25"/>
      <c r="H35" s="11" t="str">
        <f t="shared" si="0"/>
        <v/>
      </c>
      <c r="I35" s="117"/>
      <c r="J35" s="118"/>
      <c r="K35" s="118"/>
      <c r="L35" s="118"/>
      <c r="M35" s="118"/>
      <c r="N35" s="119"/>
    </row>
    <row r="36" spans="1:14" ht="20" customHeight="1" thickBot="1">
      <c r="A36" s="26" t="str">
        <f>IF(DAY(A33+3)&lt;4,"",A33+3)</f>
        <v/>
      </c>
      <c r="B36" s="27" t="str">
        <f t="shared" si="2"/>
        <v/>
      </c>
      <c r="C36" s="28"/>
      <c r="D36" s="29"/>
      <c r="E36" s="30"/>
      <c r="F36" s="31"/>
      <c r="G36" s="32"/>
      <c r="H36" s="33" t="str">
        <f t="shared" si="0"/>
        <v/>
      </c>
      <c r="I36" s="101"/>
      <c r="J36" s="102"/>
      <c r="K36" s="102"/>
      <c r="L36" s="102"/>
      <c r="M36" s="102"/>
      <c r="N36" s="103"/>
    </row>
    <row r="37" spans="1:14" ht="20" customHeight="1" thickTop="1">
      <c r="A37" s="85" t="s">
        <v>8</v>
      </c>
      <c r="B37" s="86"/>
      <c r="C37" s="87"/>
      <c r="D37" s="87"/>
      <c r="E37" s="87"/>
      <c r="F37" s="87"/>
      <c r="G37" s="87"/>
      <c r="H37" s="34">
        <f>SUM(H6:H36)</f>
        <v>0.77152777777777792</v>
      </c>
      <c r="I37" s="104" t="s">
        <v>9</v>
      </c>
      <c r="J37" s="104"/>
      <c r="K37" s="104"/>
      <c r="L37" s="104"/>
      <c r="M37" s="105"/>
      <c r="N37" s="35">
        <f>ROUNDDOWN(ROUND(H37*24*60,1)/60,2)</f>
        <v>18.510000000000002</v>
      </c>
    </row>
    <row r="38" spans="1:14" ht="20" customHeight="1">
      <c r="A38" s="64"/>
      <c r="B38" s="65"/>
    </row>
    <row r="39" spans="1:14" ht="20" customHeight="1">
      <c r="A39" s="67"/>
      <c r="B39" s="65"/>
    </row>
    <row r="40" spans="1:14" ht="20" customHeight="1">
      <c r="A40" s="67"/>
      <c r="B40" s="65"/>
    </row>
    <row r="41" spans="1:14" ht="20" customHeight="1">
      <c r="A41" s="67"/>
      <c r="B41" s="65"/>
    </row>
    <row r="42" spans="1:14" ht="20" customHeight="1">
      <c r="A42" s="67"/>
      <c r="B42" s="65"/>
    </row>
  </sheetData>
  <mergeCells count="44">
    <mergeCell ref="I36:N36"/>
    <mergeCell ref="A37:G37"/>
    <mergeCell ref="I37:M37"/>
    <mergeCell ref="I30:N30"/>
    <mergeCell ref="I31:N31"/>
    <mergeCell ref="I32:N32"/>
    <mergeCell ref="I33:N33"/>
    <mergeCell ref="I34:N34"/>
    <mergeCell ref="I35:N35"/>
    <mergeCell ref="I29:N29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27:N27"/>
    <mergeCell ref="I28:N28"/>
    <mergeCell ref="I4:N5"/>
    <mergeCell ref="I17:N17"/>
    <mergeCell ref="I6:N6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I16:N16"/>
    <mergeCell ref="A4:A5"/>
    <mergeCell ref="B4:B5"/>
    <mergeCell ref="C4:F4"/>
    <mergeCell ref="G4:G5"/>
    <mergeCell ref="H4:H5"/>
    <mergeCell ref="A1:D1"/>
    <mergeCell ref="A2:C2"/>
    <mergeCell ref="D2:H2"/>
    <mergeCell ref="J2:N2"/>
    <mergeCell ref="O3:R3"/>
  </mergeCells>
  <phoneticPr fontId="3"/>
  <conditionalFormatting sqref="A6:N36">
    <cfRule type="expression" dxfId="4" priority="1" stopIfTrue="1">
      <formula>OR($B6="土",$B6="日",$B6="祝",$B6="振",$I6="休日")</formula>
    </cfRule>
  </conditionalFormatting>
  <dataValidations count="2">
    <dataValidation type="time" allowBlank="1" showInputMessage="1" showErrorMessage="1" errorTitle="時刻を入力してください。" error="0:00から23:59までの時刻が入力できます。" sqref="C6:C36 G6:G36 E6:E36" xr:uid="{871FB42F-A56B-43DB-A11C-27373FFA5B7C}">
      <formula1>0</formula1>
      <formula2>0.999988425925926</formula2>
    </dataValidation>
    <dataValidation type="time" operator="greaterThan" allowBlank="1" showInputMessage="1" showErrorMessage="1" errorTitle="時刻を入力して下さい。" error="0:01以上の時刻を入力して下さい。" sqref="F6:F36 D6:D36" xr:uid="{016C4A89-3388-4CFC-A293-4CD3D4F85B8E}">
      <formula1>0</formula1>
    </dataValidation>
  </dataValidations>
  <pageMargins left="0.62992125984251968" right="0.23622047244094488" top="0.74803149606299213" bottom="0.74803149606299213" header="0.31496062992125984" footer="0.31496062992125984"/>
  <pageSetup paperSize="9"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436F-4162-4E4E-8554-761058796C62}">
  <sheetPr>
    <tabColor rgb="FFFFFF00"/>
    <pageSetUpPr fitToPage="1"/>
  </sheetPr>
  <dimension ref="A1:R42"/>
  <sheetViews>
    <sheetView workbookViewId="0">
      <selection activeCell="O1" sqref="O1"/>
    </sheetView>
  </sheetViews>
  <sheetFormatPr baseColWidth="10" defaultColWidth="8.1640625" defaultRowHeight="14"/>
  <cols>
    <col min="1" max="1" width="3.6640625" style="60" customWidth="1"/>
    <col min="2" max="2" width="2.83203125" style="60" customWidth="1"/>
    <col min="3" max="8" width="6" style="66" customWidth="1"/>
    <col min="9" max="14" width="6" style="55" customWidth="1"/>
    <col min="15" max="16384" width="8.1640625" style="55"/>
  </cols>
  <sheetData>
    <row r="1" spans="1:18" ht="20" customHeight="1">
      <c r="A1" s="71" t="s">
        <v>38</v>
      </c>
      <c r="B1" s="72"/>
      <c r="C1" s="72"/>
      <c r="D1" s="72"/>
      <c r="E1" s="54"/>
      <c r="F1" s="1"/>
      <c r="G1" s="2"/>
      <c r="H1" s="2" t="s">
        <v>25</v>
      </c>
      <c r="I1" s="54"/>
      <c r="J1" s="54"/>
      <c r="K1" s="54"/>
      <c r="L1" s="54"/>
      <c r="M1" s="1"/>
      <c r="N1" s="1"/>
    </row>
    <row r="2" spans="1:18" ht="20" customHeight="1">
      <c r="A2" s="73" t="s">
        <v>23</v>
      </c>
      <c r="B2" s="73"/>
      <c r="C2" s="73"/>
      <c r="D2" s="83" t="str">
        <f>IFERROR(総括表_水色のセルを入力!D2,"")</f>
        <v>李弦チョル</v>
      </c>
      <c r="E2" s="84"/>
      <c r="F2" s="84"/>
      <c r="G2" s="84"/>
      <c r="H2" s="84"/>
      <c r="I2" s="57" t="s">
        <v>24</v>
      </c>
      <c r="J2" s="83" t="str">
        <f>IFERROR(総括表_水色のセルを入力!D3,"")</f>
        <v>谷口 英</v>
      </c>
      <c r="K2" s="84"/>
      <c r="L2" s="84"/>
      <c r="M2" s="84"/>
      <c r="N2" s="84"/>
      <c r="P2" s="58"/>
    </row>
    <row r="3" spans="1:18" ht="20" customHeight="1">
      <c r="A3" s="59"/>
      <c r="B3" s="59"/>
      <c r="C3" s="59"/>
      <c r="D3" s="56"/>
      <c r="E3" s="3"/>
      <c r="F3" s="3"/>
      <c r="G3" s="3"/>
      <c r="H3" s="3"/>
      <c r="I3" s="56"/>
      <c r="J3" s="56"/>
      <c r="K3" s="56"/>
      <c r="L3" s="56"/>
      <c r="M3" s="3"/>
      <c r="N3" s="3"/>
      <c r="O3" s="70"/>
      <c r="P3" s="70"/>
      <c r="Q3" s="70"/>
      <c r="R3" s="70"/>
    </row>
    <row r="4" spans="1:18" s="60" customFormat="1" ht="20" customHeight="1">
      <c r="A4" s="74" t="s">
        <v>0</v>
      </c>
      <c r="B4" s="76" t="s">
        <v>1</v>
      </c>
      <c r="C4" s="78" t="s">
        <v>2</v>
      </c>
      <c r="D4" s="79"/>
      <c r="E4" s="79"/>
      <c r="F4" s="80"/>
      <c r="G4" s="81" t="s">
        <v>3</v>
      </c>
      <c r="H4" s="81" t="s">
        <v>4</v>
      </c>
      <c r="I4" s="88" t="s">
        <v>5</v>
      </c>
      <c r="J4" s="88"/>
      <c r="K4" s="88"/>
      <c r="L4" s="88"/>
      <c r="M4" s="88"/>
      <c r="N4" s="89"/>
    </row>
    <row r="5" spans="1:18" s="60" customFormat="1" ht="20" customHeight="1" thickBot="1">
      <c r="A5" s="75"/>
      <c r="B5" s="77"/>
      <c r="C5" s="61" t="s">
        <v>6</v>
      </c>
      <c r="D5" s="62" t="s">
        <v>7</v>
      </c>
      <c r="E5" s="63" t="s">
        <v>6</v>
      </c>
      <c r="F5" s="62" t="s">
        <v>7</v>
      </c>
      <c r="G5" s="82"/>
      <c r="H5" s="82"/>
      <c r="I5" s="90"/>
      <c r="J5" s="90"/>
      <c r="K5" s="90"/>
      <c r="L5" s="90"/>
      <c r="M5" s="90"/>
      <c r="N5" s="91"/>
    </row>
    <row r="6" spans="1:18" ht="20" customHeight="1" thickTop="1">
      <c r="A6" s="4">
        <f>DATEVALUE(TEXT(SUBSTITUTE(SUBSTITUTE(SUBSTITUTE($A$1,"元","１"),"分",""),"度","")&amp;"１日","yyyy/mm/d"))</f>
        <v>45931</v>
      </c>
      <c r="B6" s="5" t="str">
        <f>TEXT(A6,"aaa")</f>
        <v>水</v>
      </c>
      <c r="C6" s="6"/>
      <c r="D6" s="7"/>
      <c r="E6" s="8"/>
      <c r="F6" s="9"/>
      <c r="G6" s="10"/>
      <c r="H6" s="11" t="str">
        <f t="shared" ref="H6:H36" si="0">IF((D6-C6)+(F6-E6)-G6=0,"",(D6-C6)+(F6-E6)-G6)</f>
        <v/>
      </c>
      <c r="I6" s="92"/>
      <c r="J6" s="93"/>
      <c r="K6" s="93"/>
      <c r="L6" s="93"/>
      <c r="M6" s="93"/>
      <c r="N6" s="94"/>
    </row>
    <row r="7" spans="1:18" ht="20" customHeight="1">
      <c r="A7" s="12">
        <f t="shared" ref="A7:A33" si="1">A6+1</f>
        <v>45932</v>
      </c>
      <c r="B7" s="13" t="str">
        <f t="shared" ref="B7:B36" si="2">TEXT(A7,"aaa")</f>
        <v>木</v>
      </c>
      <c r="C7" s="14">
        <v>0.5</v>
      </c>
      <c r="D7" s="15">
        <v>0.54166666666666663</v>
      </c>
      <c r="E7" s="16"/>
      <c r="F7" s="17"/>
      <c r="G7" s="18"/>
      <c r="H7" s="11">
        <f t="shared" si="0"/>
        <v>4.166666666666663E-2</v>
      </c>
      <c r="I7" s="117" t="s">
        <v>52</v>
      </c>
      <c r="J7" s="118"/>
      <c r="K7" s="118"/>
      <c r="L7" s="118"/>
      <c r="M7" s="118"/>
      <c r="N7" s="119"/>
    </row>
    <row r="8" spans="1:18" ht="20" customHeight="1">
      <c r="A8" s="19">
        <f t="shared" si="1"/>
        <v>45933</v>
      </c>
      <c r="B8" s="13" t="str">
        <f t="shared" si="2"/>
        <v>金</v>
      </c>
      <c r="C8" s="20">
        <v>0.35416666666666669</v>
      </c>
      <c r="D8" s="21">
        <v>0.4375</v>
      </c>
      <c r="E8" s="16">
        <v>0.48819444444444443</v>
      </c>
      <c r="F8" s="17">
        <v>0.60416666666666663</v>
      </c>
      <c r="G8" s="18"/>
      <c r="H8" s="11">
        <f t="shared" si="0"/>
        <v>0.19930555555555551</v>
      </c>
      <c r="I8" s="117" t="s">
        <v>53</v>
      </c>
      <c r="J8" s="118"/>
      <c r="K8" s="118"/>
      <c r="L8" s="118"/>
      <c r="M8" s="118"/>
      <c r="N8" s="119"/>
    </row>
    <row r="9" spans="1:18" ht="20" customHeight="1">
      <c r="A9" s="12">
        <f t="shared" si="1"/>
        <v>45934</v>
      </c>
      <c r="B9" s="13" t="str">
        <f t="shared" si="2"/>
        <v>土</v>
      </c>
      <c r="C9" s="20"/>
      <c r="D9" s="21"/>
      <c r="E9" s="16"/>
      <c r="F9" s="17"/>
      <c r="G9" s="18"/>
      <c r="H9" s="11" t="str">
        <f t="shared" si="0"/>
        <v/>
      </c>
      <c r="I9" s="120"/>
      <c r="J9" s="121"/>
      <c r="K9" s="121"/>
      <c r="L9" s="121"/>
      <c r="M9" s="121"/>
      <c r="N9" s="122"/>
    </row>
    <row r="10" spans="1:18" ht="20" customHeight="1">
      <c r="A10" s="12">
        <f t="shared" si="1"/>
        <v>45935</v>
      </c>
      <c r="B10" s="13" t="str">
        <f t="shared" si="2"/>
        <v>日</v>
      </c>
      <c r="C10" s="20">
        <v>0.33333333333333331</v>
      </c>
      <c r="D10" s="21">
        <v>0.5</v>
      </c>
      <c r="E10" s="16">
        <v>0.54166666666666663</v>
      </c>
      <c r="F10" s="17">
        <v>0.75</v>
      </c>
      <c r="G10" s="18"/>
      <c r="H10" s="11">
        <f t="shared" si="0"/>
        <v>0.37500000000000006</v>
      </c>
      <c r="I10" s="120" t="s">
        <v>54</v>
      </c>
      <c r="J10" s="121"/>
      <c r="K10" s="121"/>
      <c r="L10" s="121"/>
      <c r="M10" s="121"/>
      <c r="N10" s="122"/>
    </row>
    <row r="11" spans="1:18" ht="20" customHeight="1">
      <c r="A11" s="22">
        <f t="shared" si="1"/>
        <v>45936</v>
      </c>
      <c r="B11" s="23" t="str">
        <f t="shared" si="2"/>
        <v>月</v>
      </c>
      <c r="C11" s="6">
        <v>0.79166666666666663</v>
      </c>
      <c r="D11" s="7">
        <v>0.95833333333333337</v>
      </c>
      <c r="E11" s="24"/>
      <c r="F11" s="9"/>
      <c r="G11" s="25"/>
      <c r="H11" s="11">
        <f t="shared" si="0"/>
        <v>0.16666666666666674</v>
      </c>
      <c r="I11" s="120" t="s">
        <v>55</v>
      </c>
      <c r="J11" s="121"/>
      <c r="K11" s="121"/>
      <c r="L11" s="121"/>
      <c r="M11" s="121"/>
      <c r="N11" s="122"/>
    </row>
    <row r="12" spans="1:18" ht="20" customHeight="1">
      <c r="A12" s="22">
        <f t="shared" si="1"/>
        <v>45937</v>
      </c>
      <c r="B12" s="23" t="str">
        <f t="shared" si="2"/>
        <v>火</v>
      </c>
      <c r="C12" s="20"/>
      <c r="D12" s="21"/>
      <c r="E12" s="16"/>
      <c r="F12" s="17"/>
      <c r="G12" s="18"/>
      <c r="H12" s="11" t="str">
        <f t="shared" si="0"/>
        <v/>
      </c>
      <c r="I12" s="120"/>
      <c r="J12" s="121"/>
      <c r="K12" s="121"/>
      <c r="L12" s="121"/>
      <c r="M12" s="121"/>
      <c r="N12" s="122"/>
    </row>
    <row r="13" spans="1:18" ht="20" customHeight="1">
      <c r="A13" s="12">
        <f t="shared" si="1"/>
        <v>45938</v>
      </c>
      <c r="B13" s="13" t="str">
        <f t="shared" si="2"/>
        <v>水</v>
      </c>
      <c r="C13" s="20">
        <v>0.5</v>
      </c>
      <c r="D13" s="21">
        <v>0.75</v>
      </c>
      <c r="E13" s="16">
        <v>0.75</v>
      </c>
      <c r="F13" s="17">
        <v>0.875</v>
      </c>
      <c r="G13" s="18"/>
      <c r="H13" s="11">
        <f t="shared" si="0"/>
        <v>0.375</v>
      </c>
      <c r="I13" s="120" t="s">
        <v>56</v>
      </c>
      <c r="J13" s="121"/>
      <c r="K13" s="121"/>
      <c r="L13" s="121"/>
      <c r="M13" s="121"/>
      <c r="N13" s="122"/>
    </row>
    <row r="14" spans="1:18" ht="20" customHeight="1">
      <c r="A14" s="12">
        <f t="shared" si="1"/>
        <v>45939</v>
      </c>
      <c r="B14" s="13" t="str">
        <f t="shared" si="2"/>
        <v>木</v>
      </c>
      <c r="C14" s="6"/>
      <c r="D14" s="7"/>
      <c r="E14" s="24"/>
      <c r="F14" s="9"/>
      <c r="G14" s="25"/>
      <c r="H14" s="11" t="str">
        <f t="shared" si="0"/>
        <v/>
      </c>
      <c r="I14" s="117"/>
      <c r="J14" s="118"/>
      <c r="K14" s="118"/>
      <c r="L14" s="118"/>
      <c r="M14" s="118"/>
      <c r="N14" s="119"/>
    </row>
    <row r="15" spans="1:18" ht="20" customHeight="1">
      <c r="A15" s="19">
        <f t="shared" si="1"/>
        <v>45940</v>
      </c>
      <c r="B15" s="13" t="str">
        <f t="shared" si="2"/>
        <v>金</v>
      </c>
      <c r="C15" s="20">
        <v>0.5</v>
      </c>
      <c r="D15" s="21">
        <v>0.625</v>
      </c>
      <c r="E15" s="16">
        <v>0.65277777777777779</v>
      </c>
      <c r="F15" s="17">
        <v>0.72916666666666663</v>
      </c>
      <c r="G15" s="18"/>
      <c r="H15" s="11">
        <f t="shared" si="0"/>
        <v>0.20138888888888884</v>
      </c>
      <c r="I15" s="120" t="s">
        <v>57</v>
      </c>
      <c r="J15" s="121"/>
      <c r="K15" s="121"/>
      <c r="L15" s="121"/>
      <c r="M15" s="121"/>
      <c r="N15" s="122"/>
    </row>
    <row r="16" spans="1:18" ht="20" customHeight="1">
      <c r="A16" s="12">
        <f t="shared" si="1"/>
        <v>45941</v>
      </c>
      <c r="B16" s="13" t="str">
        <f t="shared" si="2"/>
        <v>土</v>
      </c>
      <c r="C16" s="20">
        <v>0.33333333333333331</v>
      </c>
      <c r="D16" s="21">
        <v>0.54166666666666663</v>
      </c>
      <c r="E16" s="16">
        <v>0.58333333333333337</v>
      </c>
      <c r="F16" s="17">
        <v>0.91666666666666663</v>
      </c>
      <c r="G16" s="18"/>
      <c r="H16" s="11">
        <f t="shared" si="0"/>
        <v>0.54166666666666652</v>
      </c>
      <c r="I16" s="120" t="s">
        <v>56</v>
      </c>
      <c r="J16" s="121"/>
      <c r="K16" s="121"/>
      <c r="L16" s="121"/>
      <c r="M16" s="121"/>
      <c r="N16" s="122"/>
    </row>
    <row r="17" spans="1:14" ht="20" customHeight="1">
      <c r="A17" s="12">
        <f t="shared" si="1"/>
        <v>45942</v>
      </c>
      <c r="B17" s="13" t="str">
        <f t="shared" si="2"/>
        <v>日</v>
      </c>
      <c r="C17" s="6"/>
      <c r="D17" s="7"/>
      <c r="E17" s="24"/>
      <c r="F17" s="9"/>
      <c r="G17" s="25"/>
      <c r="H17" s="11" t="str">
        <f t="shared" si="0"/>
        <v/>
      </c>
      <c r="I17" s="120"/>
      <c r="J17" s="121"/>
      <c r="K17" s="121"/>
      <c r="L17" s="121"/>
      <c r="M17" s="121"/>
      <c r="N17" s="122"/>
    </row>
    <row r="18" spans="1:14" ht="20" customHeight="1">
      <c r="A18" s="12">
        <f t="shared" si="1"/>
        <v>45943</v>
      </c>
      <c r="B18" s="13" t="str">
        <f t="shared" si="2"/>
        <v>月</v>
      </c>
      <c r="C18" s="20"/>
      <c r="D18" s="21"/>
      <c r="E18" s="16"/>
      <c r="F18" s="17"/>
      <c r="G18" s="18"/>
      <c r="H18" s="11" t="str">
        <f t="shared" si="0"/>
        <v/>
      </c>
      <c r="I18" s="120"/>
      <c r="J18" s="121"/>
      <c r="K18" s="121"/>
      <c r="L18" s="121"/>
      <c r="M18" s="121"/>
      <c r="N18" s="122"/>
    </row>
    <row r="19" spans="1:14" ht="20" customHeight="1">
      <c r="A19" s="12">
        <f t="shared" si="1"/>
        <v>45944</v>
      </c>
      <c r="B19" s="13" t="str">
        <f t="shared" si="2"/>
        <v>火</v>
      </c>
      <c r="C19" s="20"/>
      <c r="D19" s="21"/>
      <c r="E19" s="16"/>
      <c r="F19" s="17"/>
      <c r="G19" s="18"/>
      <c r="H19" s="11" t="str">
        <f t="shared" si="0"/>
        <v/>
      </c>
      <c r="I19" s="120"/>
      <c r="J19" s="121"/>
      <c r="K19" s="121"/>
      <c r="L19" s="121"/>
      <c r="M19" s="121"/>
      <c r="N19" s="122"/>
    </row>
    <row r="20" spans="1:14" ht="20" customHeight="1">
      <c r="A20" s="12">
        <f t="shared" si="1"/>
        <v>45945</v>
      </c>
      <c r="B20" s="13" t="str">
        <f t="shared" si="2"/>
        <v>水</v>
      </c>
      <c r="C20" s="6"/>
      <c r="D20" s="7"/>
      <c r="E20" s="24"/>
      <c r="F20" s="9"/>
      <c r="G20" s="25"/>
      <c r="H20" s="11" t="str">
        <f t="shared" si="0"/>
        <v/>
      </c>
      <c r="I20" s="120"/>
      <c r="J20" s="121"/>
      <c r="K20" s="121"/>
      <c r="L20" s="121"/>
      <c r="M20" s="121"/>
      <c r="N20" s="122"/>
    </row>
    <row r="21" spans="1:14" ht="20" customHeight="1">
      <c r="A21" s="12">
        <f t="shared" si="1"/>
        <v>45946</v>
      </c>
      <c r="B21" s="13" t="str">
        <f t="shared" si="2"/>
        <v>木</v>
      </c>
      <c r="C21" s="20"/>
      <c r="D21" s="21"/>
      <c r="E21" s="16"/>
      <c r="F21" s="17"/>
      <c r="G21" s="18"/>
      <c r="H21" s="11" t="str">
        <f t="shared" si="0"/>
        <v/>
      </c>
      <c r="I21" s="117"/>
      <c r="J21" s="118"/>
      <c r="K21" s="118"/>
      <c r="L21" s="118"/>
      <c r="M21" s="118"/>
      <c r="N21" s="119"/>
    </row>
    <row r="22" spans="1:14" ht="20" customHeight="1">
      <c r="A22" s="12">
        <f t="shared" si="1"/>
        <v>45947</v>
      </c>
      <c r="B22" s="13" t="str">
        <f t="shared" si="2"/>
        <v>金</v>
      </c>
      <c r="C22" s="20"/>
      <c r="D22" s="21"/>
      <c r="E22" s="16"/>
      <c r="F22" s="17"/>
      <c r="G22" s="18"/>
      <c r="H22" s="11" t="str">
        <f t="shared" si="0"/>
        <v/>
      </c>
      <c r="I22" s="120"/>
      <c r="J22" s="121"/>
      <c r="K22" s="121"/>
      <c r="L22" s="121"/>
      <c r="M22" s="121"/>
      <c r="N22" s="122"/>
    </row>
    <row r="23" spans="1:14" ht="20" customHeight="1">
      <c r="A23" s="12">
        <f t="shared" si="1"/>
        <v>45948</v>
      </c>
      <c r="B23" s="13" t="str">
        <f t="shared" si="2"/>
        <v>土</v>
      </c>
      <c r="C23" s="6"/>
      <c r="D23" s="7"/>
      <c r="E23" s="24"/>
      <c r="F23" s="9"/>
      <c r="G23" s="25"/>
      <c r="H23" s="11" t="str">
        <f t="shared" si="0"/>
        <v/>
      </c>
      <c r="I23" s="120"/>
      <c r="J23" s="121"/>
      <c r="K23" s="121"/>
      <c r="L23" s="121"/>
      <c r="M23" s="121"/>
      <c r="N23" s="122"/>
    </row>
    <row r="24" spans="1:14" ht="20" customHeight="1">
      <c r="A24" s="12">
        <f t="shared" si="1"/>
        <v>45949</v>
      </c>
      <c r="B24" s="13" t="str">
        <f t="shared" si="2"/>
        <v>日</v>
      </c>
      <c r="C24" s="20"/>
      <c r="D24" s="21"/>
      <c r="E24" s="16"/>
      <c r="F24" s="17"/>
      <c r="G24" s="18"/>
      <c r="H24" s="11" t="str">
        <f t="shared" si="0"/>
        <v/>
      </c>
      <c r="I24" s="120"/>
      <c r="J24" s="121"/>
      <c r="K24" s="121"/>
      <c r="L24" s="121"/>
      <c r="M24" s="121"/>
      <c r="N24" s="122"/>
    </row>
    <row r="25" spans="1:14" ht="20" customHeight="1">
      <c r="A25" s="12">
        <f t="shared" si="1"/>
        <v>45950</v>
      </c>
      <c r="B25" s="13" t="str">
        <f t="shared" si="2"/>
        <v>月</v>
      </c>
      <c r="C25" s="20">
        <v>0.41666666666666669</v>
      </c>
      <c r="D25" s="21">
        <v>0.625</v>
      </c>
      <c r="E25" s="16"/>
      <c r="F25" s="17"/>
      <c r="G25" s="18"/>
      <c r="H25" s="11">
        <f t="shared" si="0"/>
        <v>0.20833333333333331</v>
      </c>
      <c r="I25" s="120" t="s">
        <v>58</v>
      </c>
      <c r="J25" s="121"/>
      <c r="K25" s="121"/>
      <c r="L25" s="121"/>
      <c r="M25" s="121"/>
      <c r="N25" s="122"/>
    </row>
    <row r="26" spans="1:14" ht="20" customHeight="1">
      <c r="A26" s="12">
        <f t="shared" si="1"/>
        <v>45951</v>
      </c>
      <c r="B26" s="13" t="str">
        <f t="shared" si="2"/>
        <v>火</v>
      </c>
      <c r="C26" s="6"/>
      <c r="D26" s="7"/>
      <c r="E26" s="24"/>
      <c r="F26" s="9"/>
      <c r="G26" s="25"/>
      <c r="H26" s="11" t="str">
        <f t="shared" si="0"/>
        <v/>
      </c>
      <c r="I26" s="120"/>
      <c r="J26" s="121"/>
      <c r="K26" s="121"/>
      <c r="L26" s="121"/>
      <c r="M26" s="121"/>
      <c r="N26" s="122"/>
    </row>
    <row r="27" spans="1:14" ht="20" customHeight="1">
      <c r="A27" s="12">
        <f t="shared" si="1"/>
        <v>45952</v>
      </c>
      <c r="B27" s="13" t="str">
        <f t="shared" si="2"/>
        <v>水</v>
      </c>
      <c r="C27" s="20">
        <v>0.625</v>
      </c>
      <c r="D27" s="21">
        <v>0.70833333333333337</v>
      </c>
      <c r="E27" s="16"/>
      <c r="F27" s="17"/>
      <c r="G27" s="18"/>
      <c r="H27" s="11">
        <f t="shared" si="0"/>
        <v>8.333333333333337E-2</v>
      </c>
      <c r="I27" s="120" t="s">
        <v>59</v>
      </c>
      <c r="J27" s="121"/>
      <c r="K27" s="121"/>
      <c r="L27" s="121"/>
      <c r="M27" s="121"/>
      <c r="N27" s="122"/>
    </row>
    <row r="28" spans="1:14" ht="20" customHeight="1">
      <c r="A28" s="12">
        <f t="shared" si="1"/>
        <v>45953</v>
      </c>
      <c r="B28" s="13" t="str">
        <f t="shared" si="2"/>
        <v>木</v>
      </c>
      <c r="C28" s="20"/>
      <c r="D28" s="21"/>
      <c r="E28" s="16"/>
      <c r="F28" s="17"/>
      <c r="G28" s="18"/>
      <c r="H28" s="11" t="str">
        <f t="shared" si="0"/>
        <v/>
      </c>
      <c r="I28" s="117"/>
      <c r="J28" s="118"/>
      <c r="K28" s="118"/>
      <c r="L28" s="118"/>
      <c r="M28" s="118"/>
      <c r="N28" s="119"/>
    </row>
    <row r="29" spans="1:14" ht="20" customHeight="1">
      <c r="A29" s="12">
        <f t="shared" si="1"/>
        <v>45954</v>
      </c>
      <c r="B29" s="13" t="str">
        <f t="shared" si="2"/>
        <v>金</v>
      </c>
      <c r="C29" s="6"/>
      <c r="D29" s="7"/>
      <c r="E29" s="24"/>
      <c r="F29" s="9"/>
      <c r="G29" s="25"/>
      <c r="H29" s="11" t="str">
        <f t="shared" si="0"/>
        <v/>
      </c>
      <c r="I29" s="120"/>
      <c r="J29" s="121"/>
      <c r="K29" s="121"/>
      <c r="L29" s="121"/>
      <c r="M29" s="121"/>
      <c r="N29" s="122"/>
    </row>
    <row r="30" spans="1:14" ht="20" customHeight="1">
      <c r="A30" s="12">
        <f t="shared" si="1"/>
        <v>45955</v>
      </c>
      <c r="B30" s="13" t="str">
        <f t="shared" si="2"/>
        <v>土</v>
      </c>
      <c r="C30" s="20"/>
      <c r="D30" s="21"/>
      <c r="E30" s="16"/>
      <c r="F30" s="17"/>
      <c r="G30" s="18"/>
      <c r="H30" s="11" t="str">
        <f t="shared" si="0"/>
        <v/>
      </c>
      <c r="I30" s="120"/>
      <c r="J30" s="121"/>
      <c r="K30" s="121"/>
      <c r="L30" s="121"/>
      <c r="M30" s="121"/>
      <c r="N30" s="122"/>
    </row>
    <row r="31" spans="1:14" ht="20" customHeight="1">
      <c r="A31" s="12">
        <f t="shared" si="1"/>
        <v>45956</v>
      </c>
      <c r="B31" s="13" t="str">
        <f t="shared" si="2"/>
        <v>日</v>
      </c>
      <c r="C31" s="20"/>
      <c r="D31" s="21"/>
      <c r="E31" s="16"/>
      <c r="F31" s="17"/>
      <c r="G31" s="18"/>
      <c r="H31" s="11" t="str">
        <f t="shared" si="0"/>
        <v/>
      </c>
      <c r="I31" s="120"/>
      <c r="J31" s="121"/>
      <c r="K31" s="121"/>
      <c r="L31" s="121"/>
      <c r="M31" s="121"/>
      <c r="N31" s="122"/>
    </row>
    <row r="32" spans="1:14" ht="20" customHeight="1">
      <c r="A32" s="12">
        <f t="shared" si="1"/>
        <v>45957</v>
      </c>
      <c r="B32" s="13" t="str">
        <f t="shared" si="2"/>
        <v>月</v>
      </c>
      <c r="C32" s="6">
        <v>0.3125</v>
      </c>
      <c r="D32" s="7">
        <v>0.45833333333333331</v>
      </c>
      <c r="E32" s="24">
        <v>0.5625</v>
      </c>
      <c r="F32" s="9">
        <v>0.70833333333333337</v>
      </c>
      <c r="G32" s="25"/>
      <c r="H32" s="11">
        <f t="shared" si="0"/>
        <v>0.29166666666666669</v>
      </c>
      <c r="I32" s="120" t="s">
        <v>60</v>
      </c>
      <c r="J32" s="121"/>
      <c r="K32" s="121"/>
      <c r="L32" s="121"/>
      <c r="M32" s="121"/>
      <c r="N32" s="122"/>
    </row>
    <row r="33" spans="1:14" ht="20" customHeight="1">
      <c r="A33" s="12">
        <f t="shared" si="1"/>
        <v>45958</v>
      </c>
      <c r="B33" s="13" t="str">
        <f t="shared" si="2"/>
        <v>火</v>
      </c>
      <c r="C33" s="20"/>
      <c r="D33" s="21"/>
      <c r="E33" s="16"/>
      <c r="F33" s="17"/>
      <c r="G33" s="18"/>
      <c r="H33" s="11" t="str">
        <f t="shared" si="0"/>
        <v/>
      </c>
      <c r="I33" s="120"/>
      <c r="J33" s="121"/>
      <c r="K33" s="121"/>
      <c r="L33" s="121"/>
      <c r="M33" s="121"/>
      <c r="N33" s="122"/>
    </row>
    <row r="34" spans="1:14" ht="20" customHeight="1">
      <c r="A34" s="12">
        <f>IF(DAY(A33+1)&lt;4,"",A33+1)</f>
        <v>45959</v>
      </c>
      <c r="B34" s="13" t="str">
        <f t="shared" si="2"/>
        <v>水</v>
      </c>
      <c r="C34" s="20"/>
      <c r="D34" s="21"/>
      <c r="E34" s="16"/>
      <c r="F34" s="17"/>
      <c r="G34" s="18"/>
      <c r="H34" s="11" t="str">
        <f t="shared" si="0"/>
        <v/>
      </c>
      <c r="I34" s="120"/>
      <c r="J34" s="121"/>
      <c r="K34" s="121"/>
      <c r="L34" s="121"/>
      <c r="M34" s="121"/>
      <c r="N34" s="122"/>
    </row>
    <row r="35" spans="1:14" ht="20" customHeight="1">
      <c r="A35" s="12">
        <f>IF(DAY(A33+2)&lt;4,"",A33+2)</f>
        <v>45960</v>
      </c>
      <c r="B35" s="13" t="str">
        <f t="shared" si="2"/>
        <v>木</v>
      </c>
      <c r="C35" s="20"/>
      <c r="D35" s="21"/>
      <c r="E35" s="16"/>
      <c r="F35" s="17"/>
      <c r="G35" s="25"/>
      <c r="H35" s="11" t="str">
        <f t="shared" si="0"/>
        <v/>
      </c>
      <c r="I35" s="117"/>
      <c r="J35" s="118"/>
      <c r="K35" s="118"/>
      <c r="L35" s="118"/>
      <c r="M35" s="118"/>
      <c r="N35" s="119"/>
    </row>
    <row r="36" spans="1:14" ht="20" customHeight="1" thickBot="1">
      <c r="A36" s="26">
        <f>IF(DAY(A33+3)&lt;4,"",A33+3)</f>
        <v>45961</v>
      </c>
      <c r="B36" s="27" t="str">
        <f t="shared" si="2"/>
        <v>金</v>
      </c>
      <c r="C36" s="28"/>
      <c r="D36" s="29"/>
      <c r="E36" s="30"/>
      <c r="F36" s="31"/>
      <c r="G36" s="32"/>
      <c r="H36" s="33" t="str">
        <f t="shared" si="0"/>
        <v/>
      </c>
      <c r="I36" s="101"/>
      <c r="J36" s="102"/>
      <c r="K36" s="102"/>
      <c r="L36" s="102"/>
      <c r="M36" s="102"/>
      <c r="N36" s="103"/>
    </row>
    <row r="37" spans="1:14" ht="20" customHeight="1" thickTop="1">
      <c r="A37" s="85" t="s">
        <v>8</v>
      </c>
      <c r="B37" s="86"/>
      <c r="C37" s="87"/>
      <c r="D37" s="87"/>
      <c r="E37" s="87"/>
      <c r="F37" s="87"/>
      <c r="G37" s="87"/>
      <c r="H37" s="34">
        <f>SUM(H6:H36)</f>
        <v>2.4840277777777775</v>
      </c>
      <c r="I37" s="104" t="s">
        <v>9</v>
      </c>
      <c r="J37" s="104"/>
      <c r="K37" s="104"/>
      <c r="L37" s="104"/>
      <c r="M37" s="105"/>
      <c r="N37" s="35">
        <f>ROUNDDOWN(ROUND(H37*24*60,1)/60,2)</f>
        <v>59.61</v>
      </c>
    </row>
    <row r="38" spans="1:14" ht="20" customHeight="1">
      <c r="A38" s="64"/>
      <c r="B38" s="65"/>
    </row>
    <row r="39" spans="1:14" ht="20" customHeight="1">
      <c r="A39" s="67"/>
      <c r="B39" s="65"/>
    </row>
    <row r="40" spans="1:14" ht="20" customHeight="1">
      <c r="A40" s="67"/>
      <c r="B40" s="65"/>
    </row>
    <row r="41" spans="1:14" ht="20" customHeight="1">
      <c r="A41" s="67"/>
      <c r="B41" s="65"/>
    </row>
    <row r="42" spans="1:14" ht="20" customHeight="1">
      <c r="A42" s="67"/>
      <c r="B42" s="65"/>
    </row>
  </sheetData>
  <mergeCells count="44">
    <mergeCell ref="I35:N35"/>
    <mergeCell ref="I36:N36"/>
    <mergeCell ref="A37:G37"/>
    <mergeCell ref="I37:M37"/>
    <mergeCell ref="I29:N29"/>
    <mergeCell ref="I30:N30"/>
    <mergeCell ref="I31:N31"/>
    <mergeCell ref="I32:N32"/>
    <mergeCell ref="I33:N33"/>
    <mergeCell ref="I34:N34"/>
    <mergeCell ref="I28:N28"/>
    <mergeCell ref="I17:N17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27:N27"/>
    <mergeCell ref="I16:N16"/>
    <mergeCell ref="I4:N5"/>
    <mergeCell ref="I6:N6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A1:D1"/>
    <mergeCell ref="A2:C2"/>
    <mergeCell ref="D2:H2"/>
    <mergeCell ref="J2:N2"/>
    <mergeCell ref="O3:R3"/>
    <mergeCell ref="A4:A5"/>
    <mergeCell ref="B4:B5"/>
    <mergeCell ref="C4:F4"/>
    <mergeCell ref="G4:G5"/>
    <mergeCell ref="H4:H5"/>
  </mergeCells>
  <phoneticPr fontId="3"/>
  <conditionalFormatting sqref="A6:N36">
    <cfRule type="expression" dxfId="3" priority="1" stopIfTrue="1">
      <formula>OR($B6="土",$B6="日",$B6="祝",$B6="振",$I6="休日")</formula>
    </cfRule>
  </conditionalFormatting>
  <dataValidations count="2">
    <dataValidation type="time" operator="greaterThan" allowBlank="1" showInputMessage="1" showErrorMessage="1" errorTitle="時刻を入力して下さい。" error="0:01以上の時刻を入力して下さい。" sqref="F6:F36 D6:D36" xr:uid="{D998861B-6DF9-48EB-8942-733377A824F6}">
      <formula1>0</formula1>
    </dataValidation>
    <dataValidation type="time" allowBlank="1" showInputMessage="1" showErrorMessage="1" errorTitle="時刻を入力してください。" error="0:00から23:59までの時刻が入力できます。" sqref="C6:C36 G6:G36 E6:E36" xr:uid="{EBE3A9E9-3AC3-441F-837B-55FD032E723A}">
      <formula1>0</formula1>
      <formula2>0.999988425925926</formula2>
    </dataValidation>
  </dataValidations>
  <pageMargins left="0.62992125984251968" right="0.23622047244094488" top="0.74803149606299213" bottom="0.74803149606299213" header="0.31496062992125984" footer="0.31496062992125984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487A-54EC-475F-88B9-2392484E19B1}">
  <sheetPr>
    <tabColor rgb="FFFFFF00"/>
    <pageSetUpPr fitToPage="1"/>
  </sheetPr>
  <dimension ref="A1:R42"/>
  <sheetViews>
    <sheetView topLeftCell="A27" workbookViewId="0">
      <selection activeCell="Q35" sqref="Q35"/>
    </sheetView>
  </sheetViews>
  <sheetFormatPr baseColWidth="10" defaultColWidth="8.1640625" defaultRowHeight="14"/>
  <cols>
    <col min="1" max="1" width="3.6640625" style="60" customWidth="1"/>
    <col min="2" max="2" width="2.83203125" style="60" customWidth="1"/>
    <col min="3" max="8" width="6" style="66" customWidth="1"/>
    <col min="9" max="14" width="6" style="55" customWidth="1"/>
    <col min="15" max="16384" width="8.1640625" style="55"/>
  </cols>
  <sheetData>
    <row r="1" spans="1:18" ht="20" customHeight="1">
      <c r="A1" s="71" t="s">
        <v>39</v>
      </c>
      <c r="B1" s="72"/>
      <c r="C1" s="72"/>
      <c r="D1" s="72"/>
      <c r="E1" s="54"/>
      <c r="F1" s="1"/>
      <c r="G1" s="2"/>
      <c r="H1" s="2" t="s">
        <v>25</v>
      </c>
      <c r="I1" s="54"/>
      <c r="J1" s="54"/>
      <c r="K1" s="54"/>
      <c r="L1" s="54"/>
      <c r="M1" s="1"/>
      <c r="N1" s="1"/>
    </row>
    <row r="2" spans="1:18" ht="20" customHeight="1">
      <c r="A2" s="73" t="s">
        <v>23</v>
      </c>
      <c r="B2" s="73"/>
      <c r="C2" s="73"/>
      <c r="D2" s="83" t="str">
        <f>IFERROR(総括表_水色のセルを入力!D2,"")</f>
        <v>李弦チョル</v>
      </c>
      <c r="E2" s="84"/>
      <c r="F2" s="84"/>
      <c r="G2" s="84"/>
      <c r="H2" s="84"/>
      <c r="I2" s="57" t="s">
        <v>24</v>
      </c>
      <c r="J2" s="83" t="str">
        <f>IFERROR(総括表_水色のセルを入力!D3,"")</f>
        <v>谷口 英</v>
      </c>
      <c r="K2" s="84"/>
      <c r="L2" s="84"/>
      <c r="M2" s="84"/>
      <c r="N2" s="84"/>
      <c r="P2" s="58"/>
    </row>
    <row r="3" spans="1:18" ht="20" customHeight="1">
      <c r="A3" s="59"/>
      <c r="B3" s="59"/>
      <c r="C3" s="59"/>
      <c r="D3" s="56"/>
      <c r="E3" s="3"/>
      <c r="F3" s="3"/>
      <c r="G3" s="3"/>
      <c r="H3" s="3"/>
      <c r="I3" s="56"/>
      <c r="J3" s="56"/>
      <c r="K3" s="56"/>
      <c r="L3" s="56"/>
      <c r="M3" s="3"/>
      <c r="N3" s="3"/>
      <c r="O3" s="70"/>
      <c r="P3" s="70"/>
      <c r="Q3" s="70"/>
      <c r="R3" s="70"/>
    </row>
    <row r="4" spans="1:18" s="60" customFormat="1" ht="20" customHeight="1">
      <c r="A4" s="74" t="s">
        <v>0</v>
      </c>
      <c r="B4" s="76" t="s">
        <v>1</v>
      </c>
      <c r="C4" s="78" t="s">
        <v>2</v>
      </c>
      <c r="D4" s="79"/>
      <c r="E4" s="79"/>
      <c r="F4" s="80"/>
      <c r="G4" s="81" t="s">
        <v>3</v>
      </c>
      <c r="H4" s="81" t="s">
        <v>4</v>
      </c>
      <c r="I4" s="88" t="s">
        <v>5</v>
      </c>
      <c r="J4" s="88"/>
      <c r="K4" s="88"/>
      <c r="L4" s="88"/>
      <c r="M4" s="88"/>
      <c r="N4" s="89"/>
    </row>
    <row r="5" spans="1:18" s="60" customFormat="1" ht="20" customHeight="1" thickBot="1">
      <c r="A5" s="75"/>
      <c r="B5" s="77"/>
      <c r="C5" s="61" t="s">
        <v>6</v>
      </c>
      <c r="D5" s="62" t="s">
        <v>7</v>
      </c>
      <c r="E5" s="63" t="s">
        <v>6</v>
      </c>
      <c r="F5" s="62" t="s">
        <v>7</v>
      </c>
      <c r="G5" s="82"/>
      <c r="H5" s="82"/>
      <c r="I5" s="90"/>
      <c r="J5" s="90"/>
      <c r="K5" s="90"/>
      <c r="L5" s="90"/>
      <c r="M5" s="90"/>
      <c r="N5" s="91"/>
    </row>
    <row r="6" spans="1:18" ht="20" customHeight="1" thickTop="1">
      <c r="A6" s="4">
        <f>DATEVALUE(TEXT(SUBSTITUTE(SUBSTITUTE(SUBSTITUTE($A$1,"元","１"),"分",""),"度","")&amp;"１日","yyyy/mm/d"))</f>
        <v>45962</v>
      </c>
      <c r="B6" s="5" t="str">
        <f>TEXT(A6,"aaa")</f>
        <v>土</v>
      </c>
      <c r="C6" s="6"/>
      <c r="D6" s="7"/>
      <c r="E6" s="8"/>
      <c r="F6" s="9"/>
      <c r="G6" s="10"/>
      <c r="H6" s="11" t="str">
        <f t="shared" ref="H6:H36" si="0">IF((D6-C6)+(F6-E6)-G6=0,"",(D6-C6)+(F6-E6)-G6)</f>
        <v/>
      </c>
      <c r="I6" s="92"/>
      <c r="J6" s="93"/>
      <c r="K6" s="93"/>
      <c r="L6" s="93"/>
      <c r="M6" s="93"/>
      <c r="N6" s="94"/>
    </row>
    <row r="7" spans="1:18" ht="20" customHeight="1">
      <c r="A7" s="12">
        <f t="shared" ref="A7:A33" si="1">A6+1</f>
        <v>45963</v>
      </c>
      <c r="B7" s="13" t="str">
        <f t="shared" ref="B7:B36" si="2">TEXT(A7,"aaa")</f>
        <v>日</v>
      </c>
      <c r="C7" s="14"/>
      <c r="D7" s="15"/>
      <c r="E7" s="16"/>
      <c r="F7" s="17"/>
      <c r="G7" s="18"/>
      <c r="H7" s="11" t="str">
        <f t="shared" si="0"/>
        <v/>
      </c>
      <c r="I7" s="117"/>
      <c r="J7" s="118"/>
      <c r="K7" s="118"/>
      <c r="L7" s="118"/>
      <c r="M7" s="118"/>
      <c r="N7" s="119"/>
    </row>
    <row r="8" spans="1:18" ht="20" customHeight="1">
      <c r="A8" s="19">
        <f t="shared" si="1"/>
        <v>45964</v>
      </c>
      <c r="B8" s="13" t="str">
        <f t="shared" si="2"/>
        <v>月</v>
      </c>
      <c r="C8" s="20"/>
      <c r="D8" s="21"/>
      <c r="E8" s="16"/>
      <c r="F8" s="17"/>
      <c r="G8" s="18"/>
      <c r="H8" s="11" t="str">
        <f t="shared" si="0"/>
        <v/>
      </c>
      <c r="I8" s="117"/>
      <c r="J8" s="118"/>
      <c r="K8" s="118"/>
      <c r="L8" s="118"/>
      <c r="M8" s="118"/>
      <c r="N8" s="119"/>
    </row>
    <row r="9" spans="1:18" ht="20" customHeight="1">
      <c r="A9" s="12">
        <f t="shared" si="1"/>
        <v>45965</v>
      </c>
      <c r="B9" s="13" t="str">
        <f t="shared" si="2"/>
        <v>火</v>
      </c>
      <c r="C9" s="20"/>
      <c r="D9" s="21"/>
      <c r="E9" s="16"/>
      <c r="F9" s="17"/>
      <c r="G9" s="18"/>
      <c r="H9" s="11" t="str">
        <f t="shared" si="0"/>
        <v/>
      </c>
      <c r="I9" s="120"/>
      <c r="J9" s="121"/>
      <c r="K9" s="121"/>
      <c r="L9" s="121"/>
      <c r="M9" s="121"/>
      <c r="N9" s="122"/>
    </row>
    <row r="10" spans="1:18" ht="20" customHeight="1">
      <c r="A10" s="12">
        <f t="shared" si="1"/>
        <v>45966</v>
      </c>
      <c r="B10" s="13" t="str">
        <f t="shared" si="2"/>
        <v>水</v>
      </c>
      <c r="C10" s="20"/>
      <c r="D10" s="21"/>
      <c r="E10" s="16"/>
      <c r="F10" s="17"/>
      <c r="G10" s="18"/>
      <c r="H10" s="11" t="str">
        <f t="shared" si="0"/>
        <v/>
      </c>
      <c r="I10" s="120"/>
      <c r="J10" s="121"/>
      <c r="K10" s="121"/>
      <c r="L10" s="121"/>
      <c r="M10" s="121"/>
      <c r="N10" s="122"/>
    </row>
    <row r="11" spans="1:18" ht="20" customHeight="1">
      <c r="A11" s="22">
        <f t="shared" si="1"/>
        <v>45967</v>
      </c>
      <c r="B11" s="23" t="str">
        <f t="shared" si="2"/>
        <v>木</v>
      </c>
      <c r="C11" s="6"/>
      <c r="D11" s="7"/>
      <c r="E11" s="24"/>
      <c r="F11" s="9"/>
      <c r="G11" s="25"/>
      <c r="H11" s="11" t="str">
        <f t="shared" si="0"/>
        <v/>
      </c>
      <c r="I11" s="120"/>
      <c r="J11" s="121"/>
      <c r="K11" s="121"/>
      <c r="L11" s="121"/>
      <c r="M11" s="121"/>
      <c r="N11" s="122"/>
    </row>
    <row r="12" spans="1:18" ht="20" customHeight="1">
      <c r="A12" s="22">
        <f t="shared" si="1"/>
        <v>45968</v>
      </c>
      <c r="B12" s="23" t="str">
        <f t="shared" si="2"/>
        <v>金</v>
      </c>
      <c r="C12" s="20">
        <v>0.66666666666666663</v>
      </c>
      <c r="D12" s="21">
        <v>0.83333333333333337</v>
      </c>
      <c r="E12" s="16"/>
      <c r="F12" s="17"/>
      <c r="G12" s="18"/>
      <c r="H12" s="11">
        <f t="shared" si="0"/>
        <v>0.16666666666666674</v>
      </c>
      <c r="I12" s="120" t="s">
        <v>64</v>
      </c>
      <c r="J12" s="121"/>
      <c r="K12" s="121"/>
      <c r="L12" s="121"/>
      <c r="M12" s="121"/>
      <c r="N12" s="122"/>
    </row>
    <row r="13" spans="1:18" ht="20" customHeight="1">
      <c r="A13" s="12">
        <f t="shared" si="1"/>
        <v>45969</v>
      </c>
      <c r="B13" s="13" t="str">
        <f t="shared" si="2"/>
        <v>土</v>
      </c>
      <c r="C13" s="20"/>
      <c r="D13" s="21"/>
      <c r="E13" s="16"/>
      <c r="F13" s="17"/>
      <c r="G13" s="18"/>
      <c r="H13" s="11" t="str">
        <f t="shared" si="0"/>
        <v/>
      </c>
      <c r="I13" s="120"/>
      <c r="J13" s="121"/>
      <c r="K13" s="121"/>
      <c r="L13" s="121"/>
      <c r="M13" s="121"/>
      <c r="N13" s="122"/>
    </row>
    <row r="14" spans="1:18" ht="20" customHeight="1">
      <c r="A14" s="12">
        <f t="shared" si="1"/>
        <v>45970</v>
      </c>
      <c r="B14" s="13" t="str">
        <f t="shared" si="2"/>
        <v>日</v>
      </c>
      <c r="C14" s="6"/>
      <c r="D14" s="7"/>
      <c r="E14" s="24"/>
      <c r="F14" s="9"/>
      <c r="G14" s="25"/>
      <c r="H14" s="11" t="str">
        <f t="shared" si="0"/>
        <v/>
      </c>
      <c r="I14" s="117"/>
      <c r="J14" s="118"/>
      <c r="K14" s="118"/>
      <c r="L14" s="118"/>
      <c r="M14" s="118"/>
      <c r="N14" s="119"/>
    </row>
    <row r="15" spans="1:18" ht="20" customHeight="1">
      <c r="A15" s="19">
        <f t="shared" si="1"/>
        <v>45971</v>
      </c>
      <c r="B15" s="13" t="str">
        <f t="shared" si="2"/>
        <v>月</v>
      </c>
      <c r="C15" s="20"/>
      <c r="D15" s="21"/>
      <c r="E15" s="16"/>
      <c r="F15" s="17"/>
      <c r="G15" s="18"/>
      <c r="H15" s="11" t="str">
        <f t="shared" si="0"/>
        <v/>
      </c>
      <c r="I15" s="120"/>
      <c r="J15" s="121"/>
      <c r="K15" s="121"/>
      <c r="L15" s="121"/>
      <c r="M15" s="121"/>
      <c r="N15" s="122"/>
    </row>
    <row r="16" spans="1:18" ht="20" customHeight="1">
      <c r="A16" s="12">
        <f t="shared" si="1"/>
        <v>45972</v>
      </c>
      <c r="B16" s="13" t="str">
        <f t="shared" si="2"/>
        <v>火</v>
      </c>
      <c r="C16" s="20"/>
      <c r="D16" s="21"/>
      <c r="E16" s="16"/>
      <c r="F16" s="17"/>
      <c r="G16" s="18"/>
      <c r="H16" s="11" t="str">
        <f t="shared" si="0"/>
        <v/>
      </c>
      <c r="I16" s="120"/>
      <c r="J16" s="121"/>
      <c r="K16" s="121"/>
      <c r="L16" s="121"/>
      <c r="M16" s="121"/>
      <c r="N16" s="122"/>
    </row>
    <row r="17" spans="1:14" ht="20" customHeight="1">
      <c r="A17" s="12">
        <f t="shared" si="1"/>
        <v>45973</v>
      </c>
      <c r="B17" s="13" t="str">
        <f t="shared" si="2"/>
        <v>水</v>
      </c>
      <c r="C17" s="6">
        <v>0.41666666666666669</v>
      </c>
      <c r="D17" s="7">
        <v>0.66666666666666663</v>
      </c>
      <c r="E17" s="24"/>
      <c r="F17" s="9"/>
      <c r="G17" s="25"/>
      <c r="H17" s="11">
        <f t="shared" si="0"/>
        <v>0.24999999999999994</v>
      </c>
      <c r="I17" s="120" t="s">
        <v>61</v>
      </c>
      <c r="J17" s="121"/>
      <c r="K17" s="121"/>
      <c r="L17" s="121"/>
      <c r="M17" s="121"/>
      <c r="N17" s="122"/>
    </row>
    <row r="18" spans="1:14" ht="20" customHeight="1">
      <c r="A18" s="12">
        <f t="shared" si="1"/>
        <v>45974</v>
      </c>
      <c r="B18" s="13" t="str">
        <f t="shared" si="2"/>
        <v>木</v>
      </c>
      <c r="C18" s="20">
        <v>0.41666666666666669</v>
      </c>
      <c r="D18" s="21">
        <v>0.66666666666666663</v>
      </c>
      <c r="E18" s="16"/>
      <c r="F18" s="17"/>
      <c r="G18" s="18"/>
      <c r="H18" s="11">
        <f t="shared" si="0"/>
        <v>0.24999999999999994</v>
      </c>
      <c r="I18" s="120" t="s">
        <v>62</v>
      </c>
      <c r="J18" s="121"/>
      <c r="K18" s="121"/>
      <c r="L18" s="121"/>
      <c r="M18" s="121"/>
      <c r="N18" s="122"/>
    </row>
    <row r="19" spans="1:14" ht="20" customHeight="1">
      <c r="A19" s="12">
        <f t="shared" si="1"/>
        <v>45975</v>
      </c>
      <c r="B19" s="13" t="str">
        <f t="shared" si="2"/>
        <v>金</v>
      </c>
      <c r="C19" s="20">
        <v>0.41666666666666669</v>
      </c>
      <c r="D19" s="21">
        <v>0.66666666666666663</v>
      </c>
      <c r="E19" s="16"/>
      <c r="F19" s="17"/>
      <c r="G19" s="18"/>
      <c r="H19" s="11">
        <f t="shared" si="0"/>
        <v>0.24999999999999994</v>
      </c>
      <c r="I19" s="120" t="s">
        <v>63</v>
      </c>
      <c r="J19" s="121"/>
      <c r="K19" s="121"/>
      <c r="L19" s="121"/>
      <c r="M19" s="121"/>
      <c r="N19" s="122"/>
    </row>
    <row r="20" spans="1:14" ht="20" customHeight="1">
      <c r="A20" s="12">
        <f t="shared" si="1"/>
        <v>45976</v>
      </c>
      <c r="B20" s="13" t="str">
        <f t="shared" si="2"/>
        <v>土</v>
      </c>
      <c r="C20" s="6">
        <v>0.375</v>
      </c>
      <c r="D20" s="7">
        <v>0.875</v>
      </c>
      <c r="E20" s="24"/>
      <c r="F20" s="9"/>
      <c r="G20" s="25">
        <v>8.3333333333333329E-2</v>
      </c>
      <c r="H20" s="11">
        <f t="shared" si="0"/>
        <v>0.41666666666666669</v>
      </c>
      <c r="I20" s="120" t="s">
        <v>65</v>
      </c>
      <c r="J20" s="121"/>
      <c r="K20" s="121"/>
      <c r="L20" s="121"/>
      <c r="M20" s="121"/>
      <c r="N20" s="122"/>
    </row>
    <row r="21" spans="1:14" ht="20" customHeight="1">
      <c r="A21" s="12">
        <f t="shared" si="1"/>
        <v>45977</v>
      </c>
      <c r="B21" s="13" t="str">
        <f t="shared" si="2"/>
        <v>日</v>
      </c>
      <c r="C21" s="20">
        <v>0.75</v>
      </c>
      <c r="D21" s="21">
        <v>1.0833333333333333</v>
      </c>
      <c r="E21" s="16"/>
      <c r="F21" s="17"/>
      <c r="G21" s="18"/>
      <c r="H21" s="11">
        <f t="shared" si="0"/>
        <v>0.33333333333333326</v>
      </c>
      <c r="I21" s="117" t="s">
        <v>66</v>
      </c>
      <c r="J21" s="118"/>
      <c r="K21" s="118"/>
      <c r="L21" s="118"/>
      <c r="M21" s="118"/>
      <c r="N21" s="119"/>
    </row>
    <row r="22" spans="1:14" ht="20" customHeight="1">
      <c r="A22" s="12">
        <f t="shared" si="1"/>
        <v>45978</v>
      </c>
      <c r="B22" s="13" t="str">
        <f t="shared" si="2"/>
        <v>月</v>
      </c>
      <c r="C22" s="20"/>
      <c r="D22" s="21"/>
      <c r="E22" s="16"/>
      <c r="F22" s="17"/>
      <c r="G22" s="18"/>
      <c r="H22" s="11" t="str">
        <f t="shared" si="0"/>
        <v/>
      </c>
      <c r="I22" s="120"/>
      <c r="J22" s="121"/>
      <c r="K22" s="121"/>
      <c r="L22" s="121"/>
      <c r="M22" s="121"/>
      <c r="N22" s="122"/>
    </row>
    <row r="23" spans="1:14" ht="20" customHeight="1">
      <c r="A23" s="12">
        <f t="shared" si="1"/>
        <v>45979</v>
      </c>
      <c r="B23" s="13" t="str">
        <f t="shared" si="2"/>
        <v>火</v>
      </c>
      <c r="C23" s="6"/>
      <c r="D23" s="7"/>
      <c r="E23" s="24"/>
      <c r="F23" s="9"/>
      <c r="G23" s="25"/>
      <c r="H23" s="11" t="str">
        <f t="shared" si="0"/>
        <v/>
      </c>
      <c r="I23" s="120"/>
      <c r="J23" s="121"/>
      <c r="K23" s="121"/>
      <c r="L23" s="121"/>
      <c r="M23" s="121"/>
      <c r="N23" s="122"/>
    </row>
    <row r="24" spans="1:14" ht="20" customHeight="1">
      <c r="A24" s="12">
        <f t="shared" si="1"/>
        <v>45980</v>
      </c>
      <c r="B24" s="13" t="str">
        <f t="shared" si="2"/>
        <v>水</v>
      </c>
      <c r="C24" s="20"/>
      <c r="D24" s="21"/>
      <c r="E24" s="16"/>
      <c r="F24" s="17"/>
      <c r="G24" s="18"/>
      <c r="H24" s="11" t="str">
        <f t="shared" si="0"/>
        <v/>
      </c>
      <c r="I24" s="120"/>
      <c r="J24" s="121"/>
      <c r="K24" s="121"/>
      <c r="L24" s="121"/>
      <c r="M24" s="121"/>
      <c r="N24" s="122"/>
    </row>
    <row r="25" spans="1:14" ht="20" customHeight="1">
      <c r="A25" s="12">
        <f t="shared" si="1"/>
        <v>45981</v>
      </c>
      <c r="B25" s="13" t="str">
        <f t="shared" si="2"/>
        <v>木</v>
      </c>
      <c r="C25" s="20">
        <v>0.375</v>
      </c>
      <c r="D25" s="21">
        <v>0.625</v>
      </c>
      <c r="E25" s="16"/>
      <c r="F25" s="17"/>
      <c r="G25" s="18">
        <v>4.1666666666666664E-2</v>
      </c>
      <c r="H25" s="11">
        <f t="shared" si="0"/>
        <v>0.20833333333333334</v>
      </c>
      <c r="I25" s="120" t="s">
        <v>67</v>
      </c>
      <c r="J25" s="121"/>
      <c r="K25" s="121"/>
      <c r="L25" s="121"/>
      <c r="M25" s="121"/>
      <c r="N25" s="122"/>
    </row>
    <row r="26" spans="1:14" ht="20" customHeight="1">
      <c r="A26" s="12">
        <f t="shared" si="1"/>
        <v>45982</v>
      </c>
      <c r="B26" s="13" t="str">
        <f t="shared" si="2"/>
        <v>金</v>
      </c>
      <c r="C26" s="6"/>
      <c r="D26" s="7"/>
      <c r="E26" s="24"/>
      <c r="F26" s="9"/>
      <c r="G26" s="25"/>
      <c r="H26" s="11" t="str">
        <f t="shared" si="0"/>
        <v/>
      </c>
      <c r="I26" s="120"/>
      <c r="J26" s="121"/>
      <c r="K26" s="121"/>
      <c r="L26" s="121"/>
      <c r="M26" s="121"/>
      <c r="N26" s="122"/>
    </row>
    <row r="27" spans="1:14" ht="20" customHeight="1">
      <c r="A27" s="12">
        <f t="shared" si="1"/>
        <v>45983</v>
      </c>
      <c r="B27" s="13" t="str">
        <f t="shared" si="2"/>
        <v>土</v>
      </c>
      <c r="C27" s="20"/>
      <c r="D27" s="21"/>
      <c r="E27" s="16"/>
      <c r="F27" s="17"/>
      <c r="G27" s="18"/>
      <c r="H27" s="11" t="str">
        <f t="shared" si="0"/>
        <v/>
      </c>
      <c r="I27" s="120"/>
      <c r="J27" s="121"/>
      <c r="K27" s="121"/>
      <c r="L27" s="121"/>
      <c r="M27" s="121"/>
      <c r="N27" s="122"/>
    </row>
    <row r="28" spans="1:14" ht="20" customHeight="1">
      <c r="A28" s="12">
        <f t="shared" si="1"/>
        <v>45984</v>
      </c>
      <c r="B28" s="13" t="str">
        <f t="shared" si="2"/>
        <v>日</v>
      </c>
      <c r="C28" s="20"/>
      <c r="D28" s="21"/>
      <c r="E28" s="16"/>
      <c r="F28" s="17"/>
      <c r="G28" s="18"/>
      <c r="H28" s="11" t="str">
        <f t="shared" si="0"/>
        <v/>
      </c>
      <c r="I28" s="117"/>
      <c r="J28" s="118"/>
      <c r="K28" s="118"/>
      <c r="L28" s="118"/>
      <c r="M28" s="118"/>
      <c r="N28" s="119"/>
    </row>
    <row r="29" spans="1:14" ht="20" customHeight="1">
      <c r="A29" s="12">
        <f t="shared" si="1"/>
        <v>45985</v>
      </c>
      <c r="B29" s="13" t="str">
        <f t="shared" si="2"/>
        <v>月</v>
      </c>
      <c r="C29" s="6">
        <v>0.41666666666666669</v>
      </c>
      <c r="D29" s="7">
        <v>0.625</v>
      </c>
      <c r="E29" s="24"/>
      <c r="F29" s="9"/>
      <c r="G29" s="25">
        <v>4.1666666666666664E-2</v>
      </c>
      <c r="H29" s="11">
        <f t="shared" si="0"/>
        <v>0.16666666666666666</v>
      </c>
      <c r="I29" s="120" t="s">
        <v>69</v>
      </c>
      <c r="J29" s="121"/>
      <c r="K29" s="121"/>
      <c r="L29" s="121"/>
      <c r="M29" s="121"/>
      <c r="N29" s="122"/>
    </row>
    <row r="30" spans="1:14" ht="20" customHeight="1">
      <c r="A30" s="12">
        <f t="shared" si="1"/>
        <v>45986</v>
      </c>
      <c r="B30" s="13" t="str">
        <f t="shared" si="2"/>
        <v>火</v>
      </c>
      <c r="C30" s="20"/>
      <c r="D30" s="21"/>
      <c r="E30" s="16"/>
      <c r="F30" s="17"/>
      <c r="G30" s="18"/>
      <c r="H30" s="11" t="str">
        <f t="shared" si="0"/>
        <v/>
      </c>
      <c r="I30" s="120"/>
      <c r="J30" s="121"/>
      <c r="K30" s="121"/>
      <c r="L30" s="121"/>
      <c r="M30" s="121"/>
      <c r="N30" s="122"/>
    </row>
    <row r="31" spans="1:14" ht="20" customHeight="1">
      <c r="A31" s="12">
        <f t="shared" si="1"/>
        <v>45987</v>
      </c>
      <c r="B31" s="13" t="str">
        <f t="shared" si="2"/>
        <v>水</v>
      </c>
      <c r="C31" s="20"/>
      <c r="D31" s="21"/>
      <c r="E31" s="16"/>
      <c r="F31" s="17"/>
      <c r="G31" s="18"/>
      <c r="H31" s="11" t="str">
        <f t="shared" si="0"/>
        <v/>
      </c>
      <c r="I31" s="120"/>
      <c r="J31" s="121"/>
      <c r="K31" s="121"/>
      <c r="L31" s="121"/>
      <c r="M31" s="121"/>
      <c r="N31" s="122"/>
    </row>
    <row r="32" spans="1:14" ht="20" customHeight="1">
      <c r="A32" s="12">
        <f t="shared" si="1"/>
        <v>45988</v>
      </c>
      <c r="B32" s="13" t="str">
        <f t="shared" si="2"/>
        <v>木</v>
      </c>
      <c r="C32" s="6">
        <v>0.75</v>
      </c>
      <c r="D32" s="7">
        <v>0.875</v>
      </c>
      <c r="E32" s="24"/>
      <c r="F32" s="9"/>
      <c r="G32" s="25"/>
      <c r="H32" s="11">
        <f t="shared" si="0"/>
        <v>0.125</v>
      </c>
      <c r="I32" s="120" t="s">
        <v>68</v>
      </c>
      <c r="J32" s="121"/>
      <c r="K32" s="121"/>
      <c r="L32" s="121"/>
      <c r="M32" s="121"/>
      <c r="N32" s="122"/>
    </row>
    <row r="33" spans="1:14" ht="20" customHeight="1">
      <c r="A33" s="12">
        <f t="shared" si="1"/>
        <v>45989</v>
      </c>
      <c r="B33" s="13" t="str">
        <f t="shared" si="2"/>
        <v>金</v>
      </c>
      <c r="C33" s="20"/>
      <c r="D33" s="21"/>
      <c r="E33" s="16"/>
      <c r="F33" s="17"/>
      <c r="G33" s="18"/>
      <c r="H33" s="11" t="str">
        <f t="shared" si="0"/>
        <v/>
      </c>
      <c r="I33" s="120"/>
      <c r="J33" s="121"/>
      <c r="K33" s="121"/>
      <c r="L33" s="121"/>
      <c r="M33" s="121"/>
      <c r="N33" s="122"/>
    </row>
    <row r="34" spans="1:14" ht="20" customHeight="1">
      <c r="A34" s="12">
        <f>IF(DAY(A33+1)&lt;4,"",A33+1)</f>
        <v>45990</v>
      </c>
      <c r="B34" s="13" t="str">
        <f t="shared" si="2"/>
        <v>土</v>
      </c>
      <c r="C34" s="20"/>
      <c r="D34" s="21"/>
      <c r="E34" s="16"/>
      <c r="F34" s="17"/>
      <c r="G34" s="18"/>
      <c r="H34" s="11" t="str">
        <f t="shared" si="0"/>
        <v/>
      </c>
      <c r="I34" s="120"/>
      <c r="J34" s="121"/>
      <c r="K34" s="121"/>
      <c r="L34" s="121"/>
      <c r="M34" s="121"/>
      <c r="N34" s="122"/>
    </row>
    <row r="35" spans="1:14" ht="20" customHeight="1">
      <c r="A35" s="12">
        <f>IF(DAY(A33+2)&lt;4,"",A33+2)</f>
        <v>45991</v>
      </c>
      <c r="B35" s="13" t="str">
        <f t="shared" si="2"/>
        <v>日</v>
      </c>
      <c r="C35" s="20">
        <v>0.70833333333333337</v>
      </c>
      <c r="D35" s="21">
        <v>0.91666666666666663</v>
      </c>
      <c r="E35" s="16"/>
      <c r="F35" s="17"/>
      <c r="G35" s="25"/>
      <c r="H35" s="11">
        <f t="shared" si="0"/>
        <v>0.20833333333333326</v>
      </c>
      <c r="I35" s="117" t="s">
        <v>70</v>
      </c>
      <c r="J35" s="118"/>
      <c r="K35" s="118"/>
      <c r="L35" s="118"/>
      <c r="M35" s="118"/>
      <c r="N35" s="119"/>
    </row>
    <row r="36" spans="1:14" ht="20" customHeight="1" thickBot="1">
      <c r="A36" s="26" t="str">
        <f>IF(DAY(A33+3)&lt;4,"",A33+3)</f>
        <v/>
      </c>
      <c r="B36" s="27" t="str">
        <f t="shared" si="2"/>
        <v/>
      </c>
      <c r="C36" s="28"/>
      <c r="D36" s="29"/>
      <c r="E36" s="30"/>
      <c r="F36" s="31"/>
      <c r="G36" s="32"/>
      <c r="H36" s="33" t="str">
        <f t="shared" si="0"/>
        <v/>
      </c>
      <c r="I36" s="101"/>
      <c r="J36" s="102"/>
      <c r="K36" s="102"/>
      <c r="L36" s="102"/>
      <c r="M36" s="102"/>
      <c r="N36" s="103"/>
    </row>
    <row r="37" spans="1:14" ht="20" customHeight="1" thickTop="1">
      <c r="A37" s="85" t="s">
        <v>8</v>
      </c>
      <c r="B37" s="86"/>
      <c r="C37" s="87"/>
      <c r="D37" s="87"/>
      <c r="E37" s="87"/>
      <c r="F37" s="87"/>
      <c r="G37" s="87"/>
      <c r="H37" s="34">
        <f>SUM(H6:H36)</f>
        <v>2.375</v>
      </c>
      <c r="I37" s="104" t="s">
        <v>9</v>
      </c>
      <c r="J37" s="104"/>
      <c r="K37" s="104"/>
      <c r="L37" s="104"/>
      <c r="M37" s="105"/>
      <c r="N37" s="35">
        <f>ROUNDDOWN(ROUND(H37*24*60,1)/60,2)</f>
        <v>57</v>
      </c>
    </row>
    <row r="38" spans="1:14" ht="20" customHeight="1">
      <c r="A38" s="64"/>
      <c r="B38" s="65"/>
    </row>
    <row r="39" spans="1:14" ht="20" customHeight="1">
      <c r="A39" s="67"/>
      <c r="B39" s="65"/>
    </row>
    <row r="40" spans="1:14" ht="20" customHeight="1">
      <c r="A40" s="67"/>
      <c r="B40" s="65"/>
    </row>
    <row r="41" spans="1:14" ht="20" customHeight="1">
      <c r="A41" s="67"/>
      <c r="B41" s="65"/>
    </row>
    <row r="42" spans="1:14" ht="20" customHeight="1">
      <c r="A42" s="67"/>
      <c r="B42" s="65"/>
    </row>
  </sheetData>
  <mergeCells count="44">
    <mergeCell ref="I35:N35"/>
    <mergeCell ref="I36:N36"/>
    <mergeCell ref="A37:G37"/>
    <mergeCell ref="I37:M37"/>
    <mergeCell ref="I29:N29"/>
    <mergeCell ref="I30:N30"/>
    <mergeCell ref="I31:N31"/>
    <mergeCell ref="I32:N32"/>
    <mergeCell ref="I33:N33"/>
    <mergeCell ref="I34:N34"/>
    <mergeCell ref="I28:N28"/>
    <mergeCell ref="I17:N17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27:N27"/>
    <mergeCell ref="I16:N16"/>
    <mergeCell ref="I4:N5"/>
    <mergeCell ref="I6:N6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A1:D1"/>
    <mergeCell ref="A2:C2"/>
    <mergeCell ref="D2:H2"/>
    <mergeCell ref="J2:N2"/>
    <mergeCell ref="O3:R3"/>
    <mergeCell ref="A4:A5"/>
    <mergeCell ref="B4:B5"/>
    <mergeCell ref="C4:F4"/>
    <mergeCell ref="G4:G5"/>
    <mergeCell ref="H4:H5"/>
  </mergeCells>
  <phoneticPr fontId="3"/>
  <conditionalFormatting sqref="A6:N36">
    <cfRule type="expression" dxfId="2" priority="1" stopIfTrue="1">
      <formula>OR($B6="土",$B6="日",$B6="祝",$B6="振",$I6="休日")</formula>
    </cfRule>
  </conditionalFormatting>
  <dataValidations count="2">
    <dataValidation type="time" allowBlank="1" showInputMessage="1" showErrorMessage="1" errorTitle="時刻を入力してください。" error="0:00から23:59までの時刻が入力できます。" sqref="E6:E36 C6:C36 G6:G36" xr:uid="{9D5C6778-BD0D-449E-B94E-61D65A49E159}">
      <formula1>0</formula1>
      <formula2>0.999988425925926</formula2>
    </dataValidation>
    <dataValidation type="time" operator="greaterThan" allowBlank="1" showInputMessage="1" showErrorMessage="1" errorTitle="時刻を入力して下さい。" error="0:01以上の時刻を入力して下さい。" sqref="D6:D36 F6:F36" xr:uid="{1FAA58B6-A2F6-4C89-A0AB-3E5E1BA74841}">
      <formula1>0</formula1>
    </dataValidation>
  </dataValidations>
  <pageMargins left="0.62992125984251968" right="0.23622047244094488" top="0.74803149606299213" bottom="0.74803149606299213" header="0.31496062992125984" footer="0.31496062992125984"/>
  <pageSetup paperSize="9"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B995-4F29-4A66-A311-46ED7F0A2C36}">
  <sheetPr>
    <tabColor rgb="FFFFFF00"/>
    <pageSetUpPr fitToPage="1"/>
  </sheetPr>
  <dimension ref="A1:R42"/>
  <sheetViews>
    <sheetView workbookViewId="0">
      <selection sqref="A1:D1"/>
    </sheetView>
  </sheetViews>
  <sheetFormatPr baseColWidth="10" defaultColWidth="8.1640625" defaultRowHeight="14"/>
  <cols>
    <col min="1" max="1" width="3.6640625" style="60" customWidth="1"/>
    <col min="2" max="2" width="2.83203125" style="60" customWidth="1"/>
    <col min="3" max="8" width="6" style="66" customWidth="1"/>
    <col min="9" max="14" width="6" style="55" customWidth="1"/>
    <col min="15" max="16384" width="8.1640625" style="55"/>
  </cols>
  <sheetData>
    <row r="1" spans="1:18" ht="20" customHeight="1">
      <c r="A1" s="71" t="s">
        <v>40</v>
      </c>
      <c r="B1" s="72"/>
      <c r="C1" s="72"/>
      <c r="D1" s="72"/>
      <c r="E1" s="54"/>
      <c r="F1" s="1"/>
      <c r="G1" s="2"/>
      <c r="H1" s="2" t="s">
        <v>25</v>
      </c>
      <c r="I1" s="54"/>
      <c r="J1" s="54"/>
      <c r="K1" s="54"/>
      <c r="L1" s="54"/>
      <c r="M1" s="1"/>
      <c r="N1" s="1"/>
    </row>
    <row r="2" spans="1:18" ht="20" customHeight="1">
      <c r="A2" s="73" t="s">
        <v>23</v>
      </c>
      <c r="B2" s="73"/>
      <c r="C2" s="73"/>
      <c r="D2" s="83" t="str">
        <f>IFERROR(総括表_水色のセルを入力!D2,"")</f>
        <v>李弦チョル</v>
      </c>
      <c r="E2" s="84"/>
      <c r="F2" s="84"/>
      <c r="G2" s="84"/>
      <c r="H2" s="84"/>
      <c r="I2" s="57" t="s">
        <v>24</v>
      </c>
      <c r="J2" s="83" t="str">
        <f>IFERROR(総括表_水色のセルを入力!D3,"")</f>
        <v>谷口 英</v>
      </c>
      <c r="K2" s="84"/>
      <c r="L2" s="84"/>
      <c r="M2" s="84"/>
      <c r="N2" s="84"/>
      <c r="P2" s="58"/>
    </row>
    <row r="3" spans="1:18" ht="20" customHeight="1">
      <c r="A3" s="59"/>
      <c r="B3" s="59"/>
      <c r="C3" s="59"/>
      <c r="D3" s="56"/>
      <c r="E3" s="3"/>
      <c r="F3" s="3"/>
      <c r="G3" s="3"/>
      <c r="H3" s="3"/>
      <c r="I3" s="56"/>
      <c r="J3" s="56"/>
      <c r="K3" s="56"/>
      <c r="L3" s="56"/>
      <c r="M3" s="3"/>
      <c r="N3" s="3"/>
      <c r="O3" s="70"/>
      <c r="P3" s="70"/>
      <c r="Q3" s="70"/>
      <c r="R3" s="70"/>
    </row>
    <row r="4" spans="1:18" s="60" customFormat="1" ht="20" customHeight="1">
      <c r="A4" s="74" t="s">
        <v>0</v>
      </c>
      <c r="B4" s="76" t="s">
        <v>1</v>
      </c>
      <c r="C4" s="78" t="s">
        <v>2</v>
      </c>
      <c r="D4" s="79"/>
      <c r="E4" s="79"/>
      <c r="F4" s="80"/>
      <c r="G4" s="81" t="s">
        <v>3</v>
      </c>
      <c r="H4" s="81" t="s">
        <v>4</v>
      </c>
      <c r="I4" s="88" t="s">
        <v>5</v>
      </c>
      <c r="J4" s="88"/>
      <c r="K4" s="88"/>
      <c r="L4" s="88"/>
      <c r="M4" s="88"/>
      <c r="N4" s="89"/>
    </row>
    <row r="5" spans="1:18" s="60" customFormat="1" ht="20" customHeight="1" thickBot="1">
      <c r="A5" s="75"/>
      <c r="B5" s="77"/>
      <c r="C5" s="61" t="s">
        <v>6</v>
      </c>
      <c r="D5" s="62" t="s">
        <v>7</v>
      </c>
      <c r="E5" s="63" t="s">
        <v>6</v>
      </c>
      <c r="F5" s="62" t="s">
        <v>7</v>
      </c>
      <c r="G5" s="82"/>
      <c r="H5" s="82"/>
      <c r="I5" s="90"/>
      <c r="J5" s="90"/>
      <c r="K5" s="90"/>
      <c r="L5" s="90"/>
      <c r="M5" s="90"/>
      <c r="N5" s="91"/>
    </row>
    <row r="6" spans="1:18" ht="20" customHeight="1" thickTop="1">
      <c r="A6" s="4">
        <f>DATEVALUE(TEXT(SUBSTITUTE(SUBSTITUTE(SUBSTITUTE($A$1,"元","１"),"分",""),"度","")&amp;"１日","yyyy/mm/d"))</f>
        <v>45992</v>
      </c>
      <c r="B6" s="5" t="str">
        <f>TEXT(A6,"aaa")</f>
        <v>月</v>
      </c>
      <c r="C6" s="6"/>
      <c r="D6" s="7"/>
      <c r="E6" s="8"/>
      <c r="F6" s="9"/>
      <c r="G6" s="10"/>
      <c r="H6" s="11" t="str">
        <f t="shared" ref="H6:H36" si="0">IF((D6-C6)+(F6-E6)-G6=0,"",(D6-C6)+(F6-E6)-G6)</f>
        <v/>
      </c>
      <c r="I6" s="92"/>
      <c r="J6" s="93"/>
      <c r="K6" s="93"/>
      <c r="L6" s="93"/>
      <c r="M6" s="93"/>
      <c r="N6" s="94"/>
    </row>
    <row r="7" spans="1:18" ht="20" customHeight="1">
      <c r="A7" s="12">
        <f t="shared" ref="A7:A33" si="1">A6+1</f>
        <v>45993</v>
      </c>
      <c r="B7" s="13" t="str">
        <f t="shared" ref="B7:B36" si="2">TEXT(A7,"aaa")</f>
        <v>火</v>
      </c>
      <c r="C7" s="14"/>
      <c r="D7" s="15"/>
      <c r="E7" s="16"/>
      <c r="F7" s="17"/>
      <c r="G7" s="18"/>
      <c r="H7" s="11" t="str">
        <f t="shared" si="0"/>
        <v/>
      </c>
      <c r="I7" s="117"/>
      <c r="J7" s="118"/>
      <c r="K7" s="118"/>
      <c r="L7" s="118"/>
      <c r="M7" s="118"/>
      <c r="N7" s="119"/>
    </row>
    <row r="8" spans="1:18" ht="20" customHeight="1">
      <c r="A8" s="19">
        <f t="shared" si="1"/>
        <v>45994</v>
      </c>
      <c r="B8" s="13" t="str">
        <f t="shared" si="2"/>
        <v>水</v>
      </c>
      <c r="C8" s="20"/>
      <c r="D8" s="21"/>
      <c r="E8" s="16"/>
      <c r="F8" s="17"/>
      <c r="G8" s="18"/>
      <c r="H8" s="11" t="str">
        <f t="shared" si="0"/>
        <v/>
      </c>
      <c r="I8" s="117"/>
      <c r="J8" s="118"/>
      <c r="K8" s="118"/>
      <c r="L8" s="118"/>
      <c r="M8" s="118"/>
      <c r="N8" s="119"/>
    </row>
    <row r="9" spans="1:18" ht="20" customHeight="1">
      <c r="A9" s="12">
        <f t="shared" si="1"/>
        <v>45995</v>
      </c>
      <c r="B9" s="13" t="str">
        <f t="shared" si="2"/>
        <v>木</v>
      </c>
      <c r="C9" s="20"/>
      <c r="D9" s="21"/>
      <c r="E9" s="16"/>
      <c r="F9" s="17"/>
      <c r="G9" s="18"/>
      <c r="H9" s="11" t="str">
        <f t="shared" si="0"/>
        <v/>
      </c>
      <c r="I9" s="120"/>
      <c r="J9" s="121"/>
      <c r="K9" s="121"/>
      <c r="L9" s="121"/>
      <c r="M9" s="121"/>
      <c r="N9" s="122"/>
    </row>
    <row r="10" spans="1:18" ht="20" customHeight="1">
      <c r="A10" s="12">
        <f t="shared" si="1"/>
        <v>45996</v>
      </c>
      <c r="B10" s="13" t="str">
        <f t="shared" si="2"/>
        <v>金</v>
      </c>
      <c r="C10" s="20"/>
      <c r="D10" s="21"/>
      <c r="E10" s="16"/>
      <c r="F10" s="17"/>
      <c r="G10" s="18"/>
      <c r="H10" s="11" t="str">
        <f t="shared" si="0"/>
        <v/>
      </c>
      <c r="I10" s="120"/>
      <c r="J10" s="121"/>
      <c r="K10" s="121"/>
      <c r="L10" s="121"/>
      <c r="M10" s="121"/>
      <c r="N10" s="122"/>
    </row>
    <row r="11" spans="1:18" ht="20" customHeight="1">
      <c r="A11" s="22">
        <f t="shared" si="1"/>
        <v>45997</v>
      </c>
      <c r="B11" s="23" t="str">
        <f t="shared" si="2"/>
        <v>土</v>
      </c>
      <c r="C11" s="6"/>
      <c r="D11" s="7"/>
      <c r="E11" s="24"/>
      <c r="F11" s="9"/>
      <c r="G11" s="25"/>
      <c r="H11" s="11" t="str">
        <f t="shared" si="0"/>
        <v/>
      </c>
      <c r="I11" s="120"/>
      <c r="J11" s="121"/>
      <c r="K11" s="121"/>
      <c r="L11" s="121"/>
      <c r="M11" s="121"/>
      <c r="N11" s="122"/>
    </row>
    <row r="12" spans="1:18" ht="20" customHeight="1">
      <c r="A12" s="22">
        <f t="shared" si="1"/>
        <v>45998</v>
      </c>
      <c r="B12" s="23" t="str">
        <f t="shared" si="2"/>
        <v>日</v>
      </c>
      <c r="C12" s="20"/>
      <c r="D12" s="21"/>
      <c r="E12" s="16"/>
      <c r="F12" s="17"/>
      <c r="G12" s="18"/>
      <c r="H12" s="11" t="str">
        <f t="shared" si="0"/>
        <v/>
      </c>
      <c r="I12" s="120"/>
      <c r="J12" s="121"/>
      <c r="K12" s="121"/>
      <c r="L12" s="121"/>
      <c r="M12" s="121"/>
      <c r="N12" s="122"/>
    </row>
    <row r="13" spans="1:18" ht="20" customHeight="1">
      <c r="A13" s="12">
        <f t="shared" si="1"/>
        <v>45999</v>
      </c>
      <c r="B13" s="13" t="str">
        <f t="shared" si="2"/>
        <v>月</v>
      </c>
      <c r="C13" s="20"/>
      <c r="D13" s="21"/>
      <c r="E13" s="16"/>
      <c r="F13" s="17"/>
      <c r="G13" s="18"/>
      <c r="H13" s="11" t="str">
        <f t="shared" si="0"/>
        <v/>
      </c>
      <c r="I13" s="120"/>
      <c r="J13" s="121"/>
      <c r="K13" s="121"/>
      <c r="L13" s="121"/>
      <c r="M13" s="121"/>
      <c r="N13" s="122"/>
    </row>
    <row r="14" spans="1:18" ht="20" customHeight="1">
      <c r="A14" s="12">
        <f t="shared" si="1"/>
        <v>46000</v>
      </c>
      <c r="B14" s="13" t="str">
        <f t="shared" si="2"/>
        <v>火</v>
      </c>
      <c r="C14" s="6"/>
      <c r="D14" s="7"/>
      <c r="E14" s="24"/>
      <c r="F14" s="9"/>
      <c r="G14" s="25"/>
      <c r="H14" s="11" t="str">
        <f t="shared" si="0"/>
        <v/>
      </c>
      <c r="I14" s="117"/>
      <c r="J14" s="118"/>
      <c r="K14" s="118"/>
      <c r="L14" s="118"/>
      <c r="M14" s="118"/>
      <c r="N14" s="119"/>
    </row>
    <row r="15" spans="1:18" ht="20" customHeight="1">
      <c r="A15" s="19">
        <f t="shared" si="1"/>
        <v>46001</v>
      </c>
      <c r="B15" s="13" t="str">
        <f t="shared" si="2"/>
        <v>水</v>
      </c>
      <c r="C15" s="20"/>
      <c r="D15" s="21"/>
      <c r="E15" s="16"/>
      <c r="F15" s="17"/>
      <c r="G15" s="18"/>
      <c r="H15" s="11" t="str">
        <f t="shared" si="0"/>
        <v/>
      </c>
      <c r="I15" s="120"/>
      <c r="J15" s="121"/>
      <c r="K15" s="121"/>
      <c r="L15" s="121"/>
      <c r="M15" s="121"/>
      <c r="N15" s="122"/>
    </row>
    <row r="16" spans="1:18" ht="20" customHeight="1">
      <c r="A16" s="12">
        <f t="shared" si="1"/>
        <v>46002</v>
      </c>
      <c r="B16" s="13" t="str">
        <f t="shared" si="2"/>
        <v>木</v>
      </c>
      <c r="C16" s="20"/>
      <c r="D16" s="21"/>
      <c r="E16" s="16"/>
      <c r="F16" s="17"/>
      <c r="G16" s="18"/>
      <c r="H16" s="11" t="str">
        <f t="shared" si="0"/>
        <v/>
      </c>
      <c r="I16" s="120"/>
      <c r="J16" s="121"/>
      <c r="K16" s="121"/>
      <c r="L16" s="121"/>
      <c r="M16" s="121"/>
      <c r="N16" s="122"/>
    </row>
    <row r="17" spans="1:14" ht="20" customHeight="1">
      <c r="A17" s="12">
        <f t="shared" si="1"/>
        <v>46003</v>
      </c>
      <c r="B17" s="13" t="str">
        <f t="shared" si="2"/>
        <v>金</v>
      </c>
      <c r="C17" s="6"/>
      <c r="D17" s="7"/>
      <c r="E17" s="24"/>
      <c r="F17" s="9"/>
      <c r="G17" s="25"/>
      <c r="H17" s="11" t="str">
        <f t="shared" si="0"/>
        <v/>
      </c>
      <c r="I17" s="120"/>
      <c r="J17" s="121"/>
      <c r="K17" s="121"/>
      <c r="L17" s="121"/>
      <c r="M17" s="121"/>
      <c r="N17" s="122"/>
    </row>
    <row r="18" spans="1:14" ht="20" customHeight="1">
      <c r="A18" s="12">
        <f t="shared" si="1"/>
        <v>46004</v>
      </c>
      <c r="B18" s="13" t="str">
        <f t="shared" si="2"/>
        <v>土</v>
      </c>
      <c r="C18" s="20"/>
      <c r="D18" s="21"/>
      <c r="E18" s="16"/>
      <c r="F18" s="17"/>
      <c r="G18" s="18"/>
      <c r="H18" s="11" t="str">
        <f t="shared" si="0"/>
        <v/>
      </c>
      <c r="I18" s="120"/>
      <c r="J18" s="121"/>
      <c r="K18" s="121"/>
      <c r="L18" s="121"/>
      <c r="M18" s="121"/>
      <c r="N18" s="122"/>
    </row>
    <row r="19" spans="1:14" ht="20" customHeight="1">
      <c r="A19" s="12">
        <f t="shared" si="1"/>
        <v>46005</v>
      </c>
      <c r="B19" s="13" t="str">
        <f t="shared" si="2"/>
        <v>日</v>
      </c>
      <c r="C19" s="20"/>
      <c r="D19" s="21"/>
      <c r="E19" s="16"/>
      <c r="F19" s="17"/>
      <c r="G19" s="18"/>
      <c r="H19" s="11" t="str">
        <f t="shared" si="0"/>
        <v/>
      </c>
      <c r="I19" s="120"/>
      <c r="J19" s="121"/>
      <c r="K19" s="121"/>
      <c r="L19" s="121"/>
      <c r="M19" s="121"/>
      <c r="N19" s="122"/>
    </row>
    <row r="20" spans="1:14" ht="20" customHeight="1">
      <c r="A20" s="12">
        <f t="shared" si="1"/>
        <v>46006</v>
      </c>
      <c r="B20" s="13" t="str">
        <f t="shared" si="2"/>
        <v>月</v>
      </c>
      <c r="C20" s="6"/>
      <c r="D20" s="7"/>
      <c r="E20" s="24"/>
      <c r="F20" s="9"/>
      <c r="G20" s="25"/>
      <c r="H20" s="11" t="str">
        <f t="shared" si="0"/>
        <v/>
      </c>
      <c r="I20" s="120"/>
      <c r="J20" s="121"/>
      <c r="K20" s="121"/>
      <c r="L20" s="121"/>
      <c r="M20" s="121"/>
      <c r="N20" s="122"/>
    </row>
    <row r="21" spans="1:14" ht="20" customHeight="1">
      <c r="A21" s="12">
        <f t="shared" si="1"/>
        <v>46007</v>
      </c>
      <c r="B21" s="13" t="str">
        <f t="shared" si="2"/>
        <v>火</v>
      </c>
      <c r="C21" s="20"/>
      <c r="D21" s="21"/>
      <c r="E21" s="16"/>
      <c r="F21" s="17"/>
      <c r="G21" s="18"/>
      <c r="H21" s="11" t="str">
        <f t="shared" si="0"/>
        <v/>
      </c>
      <c r="I21" s="117"/>
      <c r="J21" s="118"/>
      <c r="K21" s="118"/>
      <c r="L21" s="118"/>
      <c r="M21" s="118"/>
      <c r="N21" s="119"/>
    </row>
    <row r="22" spans="1:14" ht="20" customHeight="1">
      <c r="A22" s="12">
        <f t="shared" si="1"/>
        <v>46008</v>
      </c>
      <c r="B22" s="13" t="str">
        <f t="shared" si="2"/>
        <v>水</v>
      </c>
      <c r="C22" s="20"/>
      <c r="D22" s="21"/>
      <c r="E22" s="16"/>
      <c r="F22" s="17"/>
      <c r="G22" s="18"/>
      <c r="H22" s="11" t="str">
        <f t="shared" si="0"/>
        <v/>
      </c>
      <c r="I22" s="120"/>
      <c r="J22" s="121"/>
      <c r="K22" s="121"/>
      <c r="L22" s="121"/>
      <c r="M22" s="121"/>
      <c r="N22" s="122"/>
    </row>
    <row r="23" spans="1:14" ht="20" customHeight="1">
      <c r="A23" s="12">
        <f t="shared" si="1"/>
        <v>46009</v>
      </c>
      <c r="B23" s="13" t="str">
        <f t="shared" si="2"/>
        <v>木</v>
      </c>
      <c r="C23" s="6"/>
      <c r="D23" s="7"/>
      <c r="E23" s="24"/>
      <c r="F23" s="9"/>
      <c r="G23" s="25"/>
      <c r="H23" s="11" t="str">
        <f t="shared" si="0"/>
        <v/>
      </c>
      <c r="I23" s="120"/>
      <c r="J23" s="121"/>
      <c r="K23" s="121"/>
      <c r="L23" s="121"/>
      <c r="M23" s="121"/>
      <c r="N23" s="122"/>
    </row>
    <row r="24" spans="1:14" ht="20" customHeight="1">
      <c r="A24" s="12">
        <f t="shared" si="1"/>
        <v>46010</v>
      </c>
      <c r="B24" s="13" t="str">
        <f t="shared" si="2"/>
        <v>金</v>
      </c>
      <c r="C24" s="20"/>
      <c r="D24" s="21"/>
      <c r="E24" s="16"/>
      <c r="F24" s="17"/>
      <c r="G24" s="18"/>
      <c r="H24" s="11" t="str">
        <f t="shared" si="0"/>
        <v/>
      </c>
      <c r="I24" s="120"/>
      <c r="J24" s="121"/>
      <c r="K24" s="121"/>
      <c r="L24" s="121"/>
      <c r="M24" s="121"/>
      <c r="N24" s="122"/>
    </row>
    <row r="25" spans="1:14" ht="20" customHeight="1">
      <c r="A25" s="12">
        <f t="shared" si="1"/>
        <v>46011</v>
      </c>
      <c r="B25" s="13" t="str">
        <f t="shared" si="2"/>
        <v>土</v>
      </c>
      <c r="C25" s="20"/>
      <c r="D25" s="21"/>
      <c r="E25" s="16"/>
      <c r="F25" s="17"/>
      <c r="G25" s="18"/>
      <c r="H25" s="11" t="str">
        <f t="shared" si="0"/>
        <v/>
      </c>
      <c r="I25" s="120"/>
      <c r="J25" s="121"/>
      <c r="K25" s="121"/>
      <c r="L25" s="121"/>
      <c r="M25" s="121"/>
      <c r="N25" s="122"/>
    </row>
    <row r="26" spans="1:14" ht="20" customHeight="1">
      <c r="A26" s="12">
        <f t="shared" si="1"/>
        <v>46012</v>
      </c>
      <c r="B26" s="13" t="str">
        <f t="shared" si="2"/>
        <v>日</v>
      </c>
      <c r="C26" s="6"/>
      <c r="D26" s="7"/>
      <c r="E26" s="24"/>
      <c r="F26" s="9"/>
      <c r="G26" s="25"/>
      <c r="H26" s="11" t="str">
        <f t="shared" si="0"/>
        <v/>
      </c>
      <c r="I26" s="120"/>
      <c r="J26" s="121"/>
      <c r="K26" s="121"/>
      <c r="L26" s="121"/>
      <c r="M26" s="121"/>
      <c r="N26" s="122"/>
    </row>
    <row r="27" spans="1:14" ht="20" customHeight="1">
      <c r="A27" s="12">
        <f t="shared" si="1"/>
        <v>46013</v>
      </c>
      <c r="B27" s="13" t="str">
        <f t="shared" si="2"/>
        <v>月</v>
      </c>
      <c r="C27" s="20"/>
      <c r="D27" s="21"/>
      <c r="E27" s="16"/>
      <c r="F27" s="17"/>
      <c r="G27" s="18"/>
      <c r="H27" s="11" t="str">
        <f t="shared" si="0"/>
        <v/>
      </c>
      <c r="I27" s="120"/>
      <c r="J27" s="121"/>
      <c r="K27" s="121"/>
      <c r="L27" s="121"/>
      <c r="M27" s="121"/>
      <c r="N27" s="122"/>
    </row>
    <row r="28" spans="1:14" ht="20" customHeight="1">
      <c r="A28" s="12">
        <f t="shared" si="1"/>
        <v>46014</v>
      </c>
      <c r="B28" s="13" t="str">
        <f t="shared" si="2"/>
        <v>火</v>
      </c>
      <c r="C28" s="20"/>
      <c r="D28" s="21"/>
      <c r="E28" s="16"/>
      <c r="F28" s="17"/>
      <c r="G28" s="18"/>
      <c r="H28" s="11" t="str">
        <f t="shared" si="0"/>
        <v/>
      </c>
      <c r="I28" s="117"/>
      <c r="J28" s="118"/>
      <c r="K28" s="118"/>
      <c r="L28" s="118"/>
      <c r="M28" s="118"/>
      <c r="N28" s="119"/>
    </row>
    <row r="29" spans="1:14" ht="20" customHeight="1">
      <c r="A29" s="12">
        <f t="shared" si="1"/>
        <v>46015</v>
      </c>
      <c r="B29" s="13" t="str">
        <f t="shared" si="2"/>
        <v>水</v>
      </c>
      <c r="C29" s="6"/>
      <c r="D29" s="7"/>
      <c r="E29" s="24"/>
      <c r="F29" s="9"/>
      <c r="G29" s="25"/>
      <c r="H29" s="11" t="str">
        <f t="shared" si="0"/>
        <v/>
      </c>
      <c r="I29" s="120"/>
      <c r="J29" s="121"/>
      <c r="K29" s="121"/>
      <c r="L29" s="121"/>
      <c r="M29" s="121"/>
      <c r="N29" s="122"/>
    </row>
    <row r="30" spans="1:14" ht="20" customHeight="1">
      <c r="A30" s="12">
        <f t="shared" si="1"/>
        <v>46016</v>
      </c>
      <c r="B30" s="13" t="str">
        <f t="shared" si="2"/>
        <v>木</v>
      </c>
      <c r="C30" s="20"/>
      <c r="D30" s="21"/>
      <c r="E30" s="16"/>
      <c r="F30" s="17"/>
      <c r="G30" s="18"/>
      <c r="H30" s="11" t="str">
        <f t="shared" si="0"/>
        <v/>
      </c>
      <c r="I30" s="120"/>
      <c r="J30" s="121"/>
      <c r="K30" s="121"/>
      <c r="L30" s="121"/>
      <c r="M30" s="121"/>
      <c r="N30" s="122"/>
    </row>
    <row r="31" spans="1:14" ht="20" customHeight="1">
      <c r="A31" s="12">
        <f t="shared" si="1"/>
        <v>46017</v>
      </c>
      <c r="B31" s="13" t="str">
        <f t="shared" si="2"/>
        <v>金</v>
      </c>
      <c r="C31" s="20"/>
      <c r="D31" s="21"/>
      <c r="E31" s="16"/>
      <c r="F31" s="17"/>
      <c r="G31" s="18"/>
      <c r="H31" s="11" t="str">
        <f t="shared" si="0"/>
        <v/>
      </c>
      <c r="I31" s="120"/>
      <c r="J31" s="121"/>
      <c r="K31" s="121"/>
      <c r="L31" s="121"/>
      <c r="M31" s="121"/>
      <c r="N31" s="122"/>
    </row>
    <row r="32" spans="1:14" ht="20" customHeight="1">
      <c r="A32" s="12">
        <f t="shared" si="1"/>
        <v>46018</v>
      </c>
      <c r="B32" s="13" t="str">
        <f t="shared" si="2"/>
        <v>土</v>
      </c>
      <c r="C32" s="6"/>
      <c r="D32" s="7"/>
      <c r="E32" s="24"/>
      <c r="F32" s="9"/>
      <c r="G32" s="25"/>
      <c r="H32" s="11" t="str">
        <f t="shared" si="0"/>
        <v/>
      </c>
      <c r="I32" s="120"/>
      <c r="J32" s="121"/>
      <c r="K32" s="121"/>
      <c r="L32" s="121"/>
      <c r="M32" s="121"/>
      <c r="N32" s="122"/>
    </row>
    <row r="33" spans="1:14" ht="20" customHeight="1">
      <c r="A33" s="12">
        <f t="shared" si="1"/>
        <v>46019</v>
      </c>
      <c r="B33" s="13" t="str">
        <f t="shared" si="2"/>
        <v>日</v>
      </c>
      <c r="C33" s="20"/>
      <c r="D33" s="21"/>
      <c r="E33" s="16"/>
      <c r="F33" s="17"/>
      <c r="G33" s="18"/>
      <c r="H33" s="11" t="str">
        <f t="shared" si="0"/>
        <v/>
      </c>
      <c r="I33" s="120"/>
      <c r="J33" s="121"/>
      <c r="K33" s="121"/>
      <c r="L33" s="121"/>
      <c r="M33" s="121"/>
      <c r="N33" s="122"/>
    </row>
    <row r="34" spans="1:14" ht="20" customHeight="1">
      <c r="A34" s="12">
        <f>IF(DAY(A33+1)&lt;4,"",A33+1)</f>
        <v>46020</v>
      </c>
      <c r="B34" s="13" t="str">
        <f t="shared" si="2"/>
        <v>月</v>
      </c>
      <c r="C34" s="20"/>
      <c r="D34" s="21"/>
      <c r="E34" s="16"/>
      <c r="F34" s="17"/>
      <c r="G34" s="18"/>
      <c r="H34" s="11" t="str">
        <f t="shared" si="0"/>
        <v/>
      </c>
      <c r="I34" s="120"/>
      <c r="J34" s="121"/>
      <c r="K34" s="121"/>
      <c r="L34" s="121"/>
      <c r="M34" s="121"/>
      <c r="N34" s="122"/>
    </row>
    <row r="35" spans="1:14" ht="20" customHeight="1">
      <c r="A35" s="12">
        <f>IF(DAY(A33+2)&lt;4,"",A33+2)</f>
        <v>46021</v>
      </c>
      <c r="B35" s="13" t="str">
        <f t="shared" si="2"/>
        <v>火</v>
      </c>
      <c r="C35" s="20"/>
      <c r="D35" s="21"/>
      <c r="E35" s="16"/>
      <c r="F35" s="17"/>
      <c r="G35" s="25"/>
      <c r="H35" s="11" t="str">
        <f t="shared" si="0"/>
        <v/>
      </c>
      <c r="I35" s="117"/>
      <c r="J35" s="118"/>
      <c r="K35" s="118"/>
      <c r="L35" s="118"/>
      <c r="M35" s="118"/>
      <c r="N35" s="119"/>
    </row>
    <row r="36" spans="1:14" ht="20" customHeight="1" thickBot="1">
      <c r="A36" s="26">
        <f>IF(DAY(A33+3)&lt;4,"",A33+3)</f>
        <v>46022</v>
      </c>
      <c r="B36" s="27" t="str">
        <f t="shared" si="2"/>
        <v>水</v>
      </c>
      <c r="C36" s="28"/>
      <c r="D36" s="29"/>
      <c r="E36" s="30"/>
      <c r="F36" s="31"/>
      <c r="G36" s="32"/>
      <c r="H36" s="33" t="str">
        <f t="shared" si="0"/>
        <v/>
      </c>
      <c r="I36" s="101"/>
      <c r="J36" s="102"/>
      <c r="K36" s="102"/>
      <c r="L36" s="102"/>
      <c r="M36" s="102"/>
      <c r="N36" s="103"/>
    </row>
    <row r="37" spans="1:14" ht="20" customHeight="1" thickTop="1">
      <c r="A37" s="85" t="s">
        <v>8</v>
      </c>
      <c r="B37" s="86"/>
      <c r="C37" s="87"/>
      <c r="D37" s="87"/>
      <c r="E37" s="87"/>
      <c r="F37" s="87"/>
      <c r="G37" s="87"/>
      <c r="H37" s="34">
        <f>SUM(H6:H36)</f>
        <v>0</v>
      </c>
      <c r="I37" s="104" t="s">
        <v>9</v>
      </c>
      <c r="J37" s="104"/>
      <c r="K37" s="104"/>
      <c r="L37" s="104"/>
      <c r="M37" s="105"/>
      <c r="N37" s="35">
        <f>ROUNDDOWN(ROUND(H37*24*60,1)/60,2)</f>
        <v>0</v>
      </c>
    </row>
    <row r="38" spans="1:14" ht="20" customHeight="1">
      <c r="A38" s="64"/>
      <c r="B38" s="65"/>
    </row>
    <row r="39" spans="1:14" ht="20" customHeight="1">
      <c r="A39" s="67"/>
      <c r="B39" s="65"/>
    </row>
    <row r="40" spans="1:14" ht="20" customHeight="1">
      <c r="A40" s="67"/>
      <c r="B40" s="65"/>
    </row>
    <row r="41" spans="1:14" ht="20" customHeight="1">
      <c r="A41" s="67"/>
      <c r="B41" s="65"/>
    </row>
    <row r="42" spans="1:14" ht="20" customHeight="1">
      <c r="A42" s="67"/>
      <c r="B42" s="65"/>
    </row>
  </sheetData>
  <mergeCells count="44">
    <mergeCell ref="I35:N35"/>
    <mergeCell ref="I36:N36"/>
    <mergeCell ref="A37:G37"/>
    <mergeCell ref="I37:M37"/>
    <mergeCell ref="I29:N29"/>
    <mergeCell ref="I30:N30"/>
    <mergeCell ref="I31:N31"/>
    <mergeCell ref="I32:N32"/>
    <mergeCell ref="I33:N33"/>
    <mergeCell ref="I34:N34"/>
    <mergeCell ref="I28:N28"/>
    <mergeCell ref="I17:N17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27:N27"/>
    <mergeCell ref="I16:N16"/>
    <mergeCell ref="I4:N5"/>
    <mergeCell ref="I6:N6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A1:D1"/>
    <mergeCell ref="A2:C2"/>
    <mergeCell ref="D2:H2"/>
    <mergeCell ref="J2:N2"/>
    <mergeCell ref="O3:R3"/>
    <mergeCell ref="A4:A5"/>
    <mergeCell ref="B4:B5"/>
    <mergeCell ref="C4:F4"/>
    <mergeCell ref="G4:G5"/>
    <mergeCell ref="H4:H5"/>
  </mergeCells>
  <phoneticPr fontId="3"/>
  <conditionalFormatting sqref="A6:N36">
    <cfRule type="expression" dxfId="1" priority="1" stopIfTrue="1">
      <formula>OR($B6="土",$B6="日",$B6="祝",$B6="振",$I6="休日")</formula>
    </cfRule>
  </conditionalFormatting>
  <dataValidations count="2">
    <dataValidation type="time" operator="greaterThan" allowBlank="1" showInputMessage="1" showErrorMessage="1" errorTitle="時刻を入力して下さい。" error="0:01以上の時刻を入力して下さい。" sqref="D6:D36 F6:F36" xr:uid="{F56A7E46-90C7-4BC6-A306-291291E753DF}">
      <formula1>0</formula1>
    </dataValidation>
    <dataValidation type="time" allowBlank="1" showInputMessage="1" showErrorMessage="1" errorTitle="時刻を入力してください。" error="0:00から23:59までの時刻が入力できます。" sqref="E6:E36 C6:C36 G6:G36" xr:uid="{957A121A-0464-4D00-BEC7-1DB4FAA1768F}">
      <formula1>0</formula1>
      <formula2>0.999988425925926</formula2>
    </dataValidation>
  </dataValidations>
  <pageMargins left="0.62992125984251968" right="0.23622047244094488" top="0.74803149606299213" bottom="0.74803149606299213" header="0.31496062992125984" footer="0.31496062992125984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B98C-9ECC-4BAA-A9BF-C6E87668D21C}">
  <sheetPr>
    <tabColor rgb="FFFFFF00"/>
    <pageSetUpPr fitToPage="1"/>
  </sheetPr>
  <dimension ref="A1:R42"/>
  <sheetViews>
    <sheetView workbookViewId="0">
      <selection sqref="A1:D1"/>
    </sheetView>
  </sheetViews>
  <sheetFormatPr baseColWidth="10" defaultColWidth="8.1640625" defaultRowHeight="14"/>
  <cols>
    <col min="1" max="1" width="3.6640625" style="60" customWidth="1"/>
    <col min="2" max="2" width="2.83203125" style="60" customWidth="1"/>
    <col min="3" max="8" width="6" style="66" customWidth="1"/>
    <col min="9" max="14" width="6" style="55" customWidth="1"/>
    <col min="15" max="16384" width="8.1640625" style="55"/>
  </cols>
  <sheetData>
    <row r="1" spans="1:18" ht="20" customHeight="1">
      <c r="A1" s="71" t="s">
        <v>41</v>
      </c>
      <c r="B1" s="72"/>
      <c r="C1" s="72"/>
      <c r="D1" s="72"/>
      <c r="E1" s="54"/>
      <c r="F1" s="1"/>
      <c r="G1" s="2"/>
      <c r="H1" s="2" t="s">
        <v>25</v>
      </c>
      <c r="I1" s="54"/>
      <c r="J1" s="54"/>
      <c r="K1" s="54"/>
      <c r="L1" s="54"/>
      <c r="M1" s="1"/>
      <c r="N1" s="1"/>
    </row>
    <row r="2" spans="1:18" ht="20" customHeight="1">
      <c r="A2" s="73" t="s">
        <v>23</v>
      </c>
      <c r="B2" s="73"/>
      <c r="C2" s="73"/>
      <c r="D2" s="83" t="str">
        <f>IFERROR(総括表_水色のセルを入力!D2,"")</f>
        <v>李弦チョル</v>
      </c>
      <c r="E2" s="84"/>
      <c r="F2" s="84"/>
      <c r="G2" s="84"/>
      <c r="H2" s="84"/>
      <c r="I2" s="57" t="s">
        <v>24</v>
      </c>
      <c r="J2" s="83" t="str">
        <f>IFERROR(総括表_水色のセルを入力!D3,"")</f>
        <v>谷口 英</v>
      </c>
      <c r="K2" s="84"/>
      <c r="L2" s="84"/>
      <c r="M2" s="84"/>
      <c r="N2" s="84"/>
      <c r="P2" s="58"/>
    </row>
    <row r="3" spans="1:18" ht="20" customHeight="1">
      <c r="A3" s="59"/>
      <c r="B3" s="59"/>
      <c r="C3" s="59"/>
      <c r="D3" s="56"/>
      <c r="E3" s="3"/>
      <c r="F3" s="3"/>
      <c r="G3" s="3"/>
      <c r="H3" s="3"/>
      <c r="I3" s="56"/>
      <c r="J3" s="56"/>
      <c r="K3" s="56"/>
      <c r="L3" s="56"/>
      <c r="M3" s="3"/>
      <c r="N3" s="3"/>
      <c r="O3" s="70"/>
      <c r="P3" s="70"/>
      <c r="Q3" s="70"/>
      <c r="R3" s="70"/>
    </row>
    <row r="4" spans="1:18" s="60" customFormat="1" ht="20" customHeight="1">
      <c r="A4" s="74" t="s">
        <v>0</v>
      </c>
      <c r="B4" s="76" t="s">
        <v>1</v>
      </c>
      <c r="C4" s="78" t="s">
        <v>2</v>
      </c>
      <c r="D4" s="79"/>
      <c r="E4" s="79"/>
      <c r="F4" s="80"/>
      <c r="G4" s="81" t="s">
        <v>3</v>
      </c>
      <c r="H4" s="81" t="s">
        <v>4</v>
      </c>
      <c r="I4" s="88" t="s">
        <v>5</v>
      </c>
      <c r="J4" s="88"/>
      <c r="K4" s="88"/>
      <c r="L4" s="88"/>
      <c r="M4" s="88"/>
      <c r="N4" s="89"/>
    </row>
    <row r="5" spans="1:18" s="60" customFormat="1" ht="20" customHeight="1" thickBot="1">
      <c r="A5" s="75"/>
      <c r="B5" s="77"/>
      <c r="C5" s="61" t="s">
        <v>6</v>
      </c>
      <c r="D5" s="62" t="s">
        <v>7</v>
      </c>
      <c r="E5" s="63" t="s">
        <v>6</v>
      </c>
      <c r="F5" s="62" t="s">
        <v>7</v>
      </c>
      <c r="G5" s="82"/>
      <c r="H5" s="82"/>
      <c r="I5" s="90"/>
      <c r="J5" s="90"/>
      <c r="K5" s="90"/>
      <c r="L5" s="90"/>
      <c r="M5" s="90"/>
      <c r="N5" s="91"/>
    </row>
    <row r="6" spans="1:18" ht="20" customHeight="1" thickTop="1">
      <c r="A6" s="4">
        <f>DATEVALUE(TEXT(SUBSTITUTE(SUBSTITUTE(SUBSTITUTE($A$1,"元","１"),"分",""),"度","")&amp;"１日","yyyy/mm/d"))</f>
        <v>46023</v>
      </c>
      <c r="B6" s="5" t="str">
        <f>TEXT(A6,"aaa")</f>
        <v>木</v>
      </c>
      <c r="C6" s="6"/>
      <c r="D6" s="7"/>
      <c r="E6" s="8"/>
      <c r="F6" s="9"/>
      <c r="G6" s="10"/>
      <c r="H6" s="11" t="str">
        <f t="shared" ref="H6:H36" si="0">IF((D6-C6)+(F6-E6)-G6=0,"",(D6-C6)+(F6-E6)-G6)</f>
        <v/>
      </c>
      <c r="I6" s="92"/>
      <c r="J6" s="93"/>
      <c r="K6" s="93"/>
      <c r="L6" s="93"/>
      <c r="M6" s="93"/>
      <c r="N6" s="94"/>
    </row>
    <row r="7" spans="1:18" ht="20" customHeight="1">
      <c r="A7" s="12">
        <f t="shared" ref="A7:A28" si="1">A6+1</f>
        <v>46024</v>
      </c>
      <c r="B7" s="13" t="str">
        <f t="shared" ref="B7:B28" si="2">TEXT(A7,"aaa")</f>
        <v>金</v>
      </c>
      <c r="C7" s="14"/>
      <c r="D7" s="15"/>
      <c r="E7" s="16"/>
      <c r="F7" s="17"/>
      <c r="G7" s="18"/>
      <c r="H7" s="11" t="str">
        <f t="shared" si="0"/>
        <v/>
      </c>
      <c r="I7" s="117"/>
      <c r="J7" s="118"/>
      <c r="K7" s="118"/>
      <c r="L7" s="118"/>
      <c r="M7" s="118"/>
      <c r="N7" s="119"/>
    </row>
    <row r="8" spans="1:18" ht="20" customHeight="1">
      <c r="A8" s="19">
        <f t="shared" si="1"/>
        <v>46025</v>
      </c>
      <c r="B8" s="13" t="str">
        <f t="shared" si="2"/>
        <v>土</v>
      </c>
      <c r="C8" s="20"/>
      <c r="D8" s="21"/>
      <c r="E8" s="16"/>
      <c r="F8" s="17"/>
      <c r="G8" s="18"/>
      <c r="H8" s="11" t="str">
        <f t="shared" si="0"/>
        <v/>
      </c>
      <c r="I8" s="117"/>
      <c r="J8" s="118"/>
      <c r="K8" s="118"/>
      <c r="L8" s="118"/>
      <c r="M8" s="118"/>
      <c r="N8" s="119"/>
    </row>
    <row r="9" spans="1:18" ht="20" customHeight="1">
      <c r="A9" s="12">
        <f t="shared" si="1"/>
        <v>46026</v>
      </c>
      <c r="B9" s="13" t="str">
        <f t="shared" si="2"/>
        <v>日</v>
      </c>
      <c r="C9" s="20"/>
      <c r="D9" s="21"/>
      <c r="E9" s="16"/>
      <c r="F9" s="17"/>
      <c r="G9" s="18"/>
      <c r="H9" s="11" t="str">
        <f t="shared" si="0"/>
        <v/>
      </c>
      <c r="I9" s="120"/>
      <c r="J9" s="121"/>
      <c r="K9" s="121"/>
      <c r="L9" s="121"/>
      <c r="M9" s="121"/>
      <c r="N9" s="122"/>
    </row>
    <row r="10" spans="1:18" ht="20" customHeight="1">
      <c r="A10" s="12">
        <f t="shared" si="1"/>
        <v>46027</v>
      </c>
      <c r="B10" s="13" t="str">
        <f t="shared" si="2"/>
        <v>月</v>
      </c>
      <c r="C10" s="20"/>
      <c r="D10" s="21"/>
      <c r="E10" s="16"/>
      <c r="F10" s="17"/>
      <c r="G10" s="18"/>
      <c r="H10" s="11" t="str">
        <f t="shared" si="0"/>
        <v/>
      </c>
      <c r="I10" s="120"/>
      <c r="J10" s="121"/>
      <c r="K10" s="121"/>
      <c r="L10" s="121"/>
      <c r="M10" s="121"/>
      <c r="N10" s="122"/>
    </row>
    <row r="11" spans="1:18" ht="20" customHeight="1">
      <c r="A11" s="22">
        <f t="shared" si="1"/>
        <v>46028</v>
      </c>
      <c r="B11" s="23" t="str">
        <f t="shared" si="2"/>
        <v>火</v>
      </c>
      <c r="C11" s="6"/>
      <c r="D11" s="7"/>
      <c r="E11" s="24"/>
      <c r="F11" s="9"/>
      <c r="G11" s="25"/>
      <c r="H11" s="11" t="str">
        <f t="shared" si="0"/>
        <v/>
      </c>
      <c r="I11" s="120"/>
      <c r="J11" s="121"/>
      <c r="K11" s="121"/>
      <c r="L11" s="121"/>
      <c r="M11" s="121"/>
      <c r="N11" s="122"/>
    </row>
    <row r="12" spans="1:18" ht="20" customHeight="1">
      <c r="A12" s="22">
        <f t="shared" si="1"/>
        <v>46029</v>
      </c>
      <c r="B12" s="23" t="str">
        <f t="shared" si="2"/>
        <v>水</v>
      </c>
      <c r="C12" s="20"/>
      <c r="D12" s="21"/>
      <c r="E12" s="16"/>
      <c r="F12" s="17"/>
      <c r="G12" s="18"/>
      <c r="H12" s="11" t="str">
        <f t="shared" si="0"/>
        <v/>
      </c>
      <c r="I12" s="120"/>
      <c r="J12" s="121"/>
      <c r="K12" s="121"/>
      <c r="L12" s="121"/>
      <c r="M12" s="121"/>
      <c r="N12" s="122"/>
    </row>
    <row r="13" spans="1:18" ht="20" customHeight="1">
      <c r="A13" s="12">
        <f t="shared" si="1"/>
        <v>46030</v>
      </c>
      <c r="B13" s="13" t="str">
        <f t="shared" si="2"/>
        <v>木</v>
      </c>
      <c r="C13" s="20"/>
      <c r="D13" s="21"/>
      <c r="E13" s="16"/>
      <c r="F13" s="17"/>
      <c r="G13" s="18"/>
      <c r="H13" s="11" t="str">
        <f t="shared" si="0"/>
        <v/>
      </c>
      <c r="I13" s="120"/>
      <c r="J13" s="121"/>
      <c r="K13" s="121"/>
      <c r="L13" s="121"/>
      <c r="M13" s="121"/>
      <c r="N13" s="122"/>
    </row>
    <row r="14" spans="1:18" ht="20" customHeight="1">
      <c r="A14" s="12">
        <f t="shared" si="1"/>
        <v>46031</v>
      </c>
      <c r="B14" s="13" t="str">
        <f t="shared" si="2"/>
        <v>金</v>
      </c>
      <c r="C14" s="6"/>
      <c r="D14" s="7"/>
      <c r="E14" s="24"/>
      <c r="F14" s="9"/>
      <c r="G14" s="25"/>
      <c r="H14" s="11" t="str">
        <f t="shared" si="0"/>
        <v/>
      </c>
      <c r="I14" s="117"/>
      <c r="J14" s="118"/>
      <c r="K14" s="118"/>
      <c r="L14" s="118"/>
      <c r="M14" s="118"/>
      <c r="N14" s="119"/>
    </row>
    <row r="15" spans="1:18" ht="20" customHeight="1">
      <c r="A15" s="19">
        <f t="shared" si="1"/>
        <v>46032</v>
      </c>
      <c r="B15" s="13" t="str">
        <f t="shared" si="2"/>
        <v>土</v>
      </c>
      <c r="C15" s="20"/>
      <c r="D15" s="21"/>
      <c r="E15" s="16"/>
      <c r="F15" s="17"/>
      <c r="G15" s="18"/>
      <c r="H15" s="11" t="str">
        <f t="shared" si="0"/>
        <v/>
      </c>
      <c r="I15" s="120"/>
      <c r="J15" s="121"/>
      <c r="K15" s="121"/>
      <c r="L15" s="121"/>
      <c r="M15" s="121"/>
      <c r="N15" s="122"/>
    </row>
    <row r="16" spans="1:18" ht="20" customHeight="1">
      <c r="A16" s="12">
        <f t="shared" si="1"/>
        <v>46033</v>
      </c>
      <c r="B16" s="13" t="str">
        <f t="shared" si="2"/>
        <v>日</v>
      </c>
      <c r="C16" s="20"/>
      <c r="D16" s="21"/>
      <c r="E16" s="16"/>
      <c r="F16" s="17"/>
      <c r="G16" s="18"/>
      <c r="H16" s="11" t="str">
        <f t="shared" si="0"/>
        <v/>
      </c>
      <c r="I16" s="120"/>
      <c r="J16" s="121"/>
      <c r="K16" s="121"/>
      <c r="L16" s="121"/>
      <c r="M16" s="121"/>
      <c r="N16" s="122"/>
    </row>
    <row r="17" spans="1:14" ht="20" customHeight="1">
      <c r="A17" s="12">
        <f t="shared" si="1"/>
        <v>46034</v>
      </c>
      <c r="B17" s="13" t="str">
        <f t="shared" si="2"/>
        <v>月</v>
      </c>
      <c r="C17" s="6"/>
      <c r="D17" s="7"/>
      <c r="E17" s="24"/>
      <c r="F17" s="9"/>
      <c r="G17" s="25"/>
      <c r="H17" s="11" t="str">
        <f t="shared" si="0"/>
        <v/>
      </c>
      <c r="I17" s="120"/>
      <c r="J17" s="121"/>
      <c r="K17" s="121"/>
      <c r="L17" s="121"/>
      <c r="M17" s="121"/>
      <c r="N17" s="122"/>
    </row>
    <row r="18" spans="1:14" ht="20" customHeight="1">
      <c r="A18" s="12">
        <f t="shared" si="1"/>
        <v>46035</v>
      </c>
      <c r="B18" s="13" t="str">
        <f t="shared" si="2"/>
        <v>火</v>
      </c>
      <c r="C18" s="20"/>
      <c r="D18" s="21"/>
      <c r="E18" s="16"/>
      <c r="F18" s="17"/>
      <c r="G18" s="18"/>
      <c r="H18" s="11" t="str">
        <f t="shared" si="0"/>
        <v/>
      </c>
      <c r="I18" s="120"/>
      <c r="J18" s="121"/>
      <c r="K18" s="121"/>
      <c r="L18" s="121"/>
      <c r="M18" s="121"/>
      <c r="N18" s="122"/>
    </row>
    <row r="19" spans="1:14" ht="20" customHeight="1">
      <c r="A19" s="12">
        <f t="shared" si="1"/>
        <v>46036</v>
      </c>
      <c r="B19" s="13" t="str">
        <f t="shared" si="2"/>
        <v>水</v>
      </c>
      <c r="C19" s="20"/>
      <c r="D19" s="21"/>
      <c r="E19" s="16"/>
      <c r="F19" s="17"/>
      <c r="G19" s="18"/>
      <c r="H19" s="11" t="str">
        <f t="shared" si="0"/>
        <v/>
      </c>
      <c r="I19" s="120"/>
      <c r="J19" s="121"/>
      <c r="K19" s="121"/>
      <c r="L19" s="121"/>
      <c r="M19" s="121"/>
      <c r="N19" s="122"/>
    </row>
    <row r="20" spans="1:14" ht="20" customHeight="1">
      <c r="A20" s="12">
        <f t="shared" si="1"/>
        <v>46037</v>
      </c>
      <c r="B20" s="13" t="str">
        <f t="shared" si="2"/>
        <v>木</v>
      </c>
      <c r="C20" s="6"/>
      <c r="D20" s="7"/>
      <c r="E20" s="24"/>
      <c r="F20" s="9"/>
      <c r="G20" s="25"/>
      <c r="H20" s="11" t="str">
        <f t="shared" si="0"/>
        <v/>
      </c>
      <c r="I20" s="120"/>
      <c r="J20" s="121"/>
      <c r="K20" s="121"/>
      <c r="L20" s="121"/>
      <c r="M20" s="121"/>
      <c r="N20" s="122"/>
    </row>
    <row r="21" spans="1:14" ht="20" customHeight="1">
      <c r="A21" s="12">
        <f t="shared" si="1"/>
        <v>46038</v>
      </c>
      <c r="B21" s="13" t="str">
        <f t="shared" si="2"/>
        <v>金</v>
      </c>
      <c r="C21" s="20"/>
      <c r="D21" s="21"/>
      <c r="E21" s="16"/>
      <c r="F21" s="17"/>
      <c r="G21" s="18"/>
      <c r="H21" s="11" t="str">
        <f t="shared" si="0"/>
        <v/>
      </c>
      <c r="I21" s="117"/>
      <c r="J21" s="118"/>
      <c r="K21" s="118"/>
      <c r="L21" s="118"/>
      <c r="M21" s="118"/>
      <c r="N21" s="119"/>
    </row>
    <row r="22" spans="1:14" ht="20" customHeight="1">
      <c r="A22" s="12">
        <f t="shared" si="1"/>
        <v>46039</v>
      </c>
      <c r="B22" s="13" t="str">
        <f t="shared" si="2"/>
        <v>土</v>
      </c>
      <c r="C22" s="20"/>
      <c r="D22" s="21"/>
      <c r="E22" s="16"/>
      <c r="F22" s="17"/>
      <c r="G22" s="18"/>
      <c r="H22" s="11" t="str">
        <f t="shared" si="0"/>
        <v/>
      </c>
      <c r="I22" s="120"/>
      <c r="J22" s="121"/>
      <c r="K22" s="121"/>
      <c r="L22" s="121"/>
      <c r="M22" s="121"/>
      <c r="N22" s="122"/>
    </row>
    <row r="23" spans="1:14" ht="20" customHeight="1">
      <c r="A23" s="12">
        <f t="shared" si="1"/>
        <v>46040</v>
      </c>
      <c r="B23" s="13" t="str">
        <f t="shared" si="2"/>
        <v>日</v>
      </c>
      <c r="C23" s="6"/>
      <c r="D23" s="7"/>
      <c r="E23" s="24"/>
      <c r="F23" s="9"/>
      <c r="G23" s="25"/>
      <c r="H23" s="11" t="str">
        <f t="shared" si="0"/>
        <v/>
      </c>
      <c r="I23" s="120"/>
      <c r="J23" s="121"/>
      <c r="K23" s="121"/>
      <c r="L23" s="121"/>
      <c r="M23" s="121"/>
      <c r="N23" s="122"/>
    </row>
    <row r="24" spans="1:14" ht="20" customHeight="1">
      <c r="A24" s="12">
        <f t="shared" si="1"/>
        <v>46041</v>
      </c>
      <c r="B24" s="13" t="str">
        <f t="shared" si="2"/>
        <v>月</v>
      </c>
      <c r="C24" s="20"/>
      <c r="D24" s="21"/>
      <c r="E24" s="16"/>
      <c r="F24" s="17"/>
      <c r="G24" s="18"/>
      <c r="H24" s="11" t="str">
        <f t="shared" si="0"/>
        <v/>
      </c>
      <c r="I24" s="120"/>
      <c r="J24" s="121"/>
      <c r="K24" s="121"/>
      <c r="L24" s="121"/>
      <c r="M24" s="121"/>
      <c r="N24" s="122"/>
    </row>
    <row r="25" spans="1:14" ht="20" customHeight="1">
      <c r="A25" s="12">
        <f t="shared" si="1"/>
        <v>46042</v>
      </c>
      <c r="B25" s="13" t="str">
        <f t="shared" si="2"/>
        <v>火</v>
      </c>
      <c r="C25" s="20"/>
      <c r="D25" s="21"/>
      <c r="E25" s="16"/>
      <c r="F25" s="17"/>
      <c r="G25" s="18"/>
      <c r="H25" s="11" t="str">
        <f t="shared" si="0"/>
        <v/>
      </c>
      <c r="I25" s="120"/>
      <c r="J25" s="121"/>
      <c r="K25" s="121"/>
      <c r="L25" s="121"/>
      <c r="M25" s="121"/>
      <c r="N25" s="122"/>
    </row>
    <row r="26" spans="1:14" ht="20" customHeight="1">
      <c r="A26" s="12">
        <f t="shared" si="1"/>
        <v>46043</v>
      </c>
      <c r="B26" s="13" t="str">
        <f t="shared" si="2"/>
        <v>水</v>
      </c>
      <c r="C26" s="6"/>
      <c r="D26" s="7"/>
      <c r="E26" s="24"/>
      <c r="F26" s="9"/>
      <c r="G26" s="25"/>
      <c r="H26" s="11" t="str">
        <f t="shared" si="0"/>
        <v/>
      </c>
      <c r="I26" s="120"/>
      <c r="J26" s="121"/>
      <c r="K26" s="121"/>
      <c r="L26" s="121"/>
      <c r="M26" s="121"/>
      <c r="N26" s="122"/>
    </row>
    <row r="27" spans="1:14" ht="20" customHeight="1">
      <c r="A27" s="12">
        <f t="shared" si="1"/>
        <v>46044</v>
      </c>
      <c r="B27" s="13" t="str">
        <f t="shared" si="2"/>
        <v>木</v>
      </c>
      <c r="C27" s="20"/>
      <c r="D27" s="21"/>
      <c r="E27" s="16"/>
      <c r="F27" s="17"/>
      <c r="G27" s="18"/>
      <c r="H27" s="11" t="str">
        <f t="shared" si="0"/>
        <v/>
      </c>
      <c r="I27" s="120"/>
      <c r="J27" s="121"/>
      <c r="K27" s="121"/>
      <c r="L27" s="121"/>
      <c r="M27" s="121"/>
      <c r="N27" s="122"/>
    </row>
    <row r="28" spans="1:14" ht="20" customHeight="1">
      <c r="A28" s="12">
        <f t="shared" si="1"/>
        <v>46045</v>
      </c>
      <c r="B28" s="13" t="str">
        <f t="shared" si="2"/>
        <v>金</v>
      </c>
      <c r="C28" s="20"/>
      <c r="D28" s="21"/>
      <c r="E28" s="16"/>
      <c r="F28" s="17"/>
      <c r="G28" s="18"/>
      <c r="H28" s="11" t="str">
        <f t="shared" si="0"/>
        <v/>
      </c>
      <c r="I28" s="117"/>
      <c r="J28" s="118"/>
      <c r="K28" s="118"/>
      <c r="L28" s="118"/>
      <c r="M28" s="118"/>
      <c r="N28" s="119"/>
    </row>
    <row r="29" spans="1:14" ht="20" customHeight="1">
      <c r="A29" s="12"/>
      <c r="B29" s="13"/>
      <c r="C29" s="6"/>
      <c r="D29" s="7"/>
      <c r="E29" s="24"/>
      <c r="F29" s="9"/>
      <c r="G29" s="25"/>
      <c r="H29" s="11" t="str">
        <f t="shared" si="0"/>
        <v/>
      </c>
      <c r="I29" s="120"/>
      <c r="J29" s="121"/>
      <c r="K29" s="121"/>
      <c r="L29" s="121"/>
      <c r="M29" s="121"/>
      <c r="N29" s="122"/>
    </row>
    <row r="30" spans="1:14" ht="20" customHeight="1">
      <c r="A30" s="12"/>
      <c r="B30" s="13"/>
      <c r="C30" s="20"/>
      <c r="D30" s="21"/>
      <c r="E30" s="16"/>
      <c r="F30" s="17"/>
      <c r="G30" s="18"/>
      <c r="H30" s="11" t="str">
        <f t="shared" si="0"/>
        <v/>
      </c>
      <c r="I30" s="120"/>
      <c r="J30" s="121"/>
      <c r="K30" s="121"/>
      <c r="L30" s="121"/>
      <c r="M30" s="121"/>
      <c r="N30" s="122"/>
    </row>
    <row r="31" spans="1:14" ht="20" customHeight="1">
      <c r="A31" s="12"/>
      <c r="B31" s="13"/>
      <c r="C31" s="20"/>
      <c r="D31" s="21"/>
      <c r="E31" s="16"/>
      <c r="F31" s="17"/>
      <c r="G31" s="18"/>
      <c r="H31" s="11" t="str">
        <f t="shared" si="0"/>
        <v/>
      </c>
      <c r="I31" s="120"/>
      <c r="J31" s="121"/>
      <c r="K31" s="121"/>
      <c r="L31" s="121"/>
      <c r="M31" s="121"/>
      <c r="N31" s="122"/>
    </row>
    <row r="32" spans="1:14" ht="20" customHeight="1">
      <c r="A32" s="12"/>
      <c r="B32" s="13"/>
      <c r="C32" s="6"/>
      <c r="D32" s="7"/>
      <c r="E32" s="24"/>
      <c r="F32" s="9"/>
      <c r="G32" s="25"/>
      <c r="H32" s="11" t="str">
        <f t="shared" si="0"/>
        <v/>
      </c>
      <c r="I32" s="120"/>
      <c r="J32" s="121"/>
      <c r="K32" s="121"/>
      <c r="L32" s="121"/>
      <c r="M32" s="121"/>
      <c r="N32" s="122"/>
    </row>
    <row r="33" spans="1:14" ht="20" customHeight="1">
      <c r="A33" s="12"/>
      <c r="B33" s="13"/>
      <c r="C33" s="20"/>
      <c r="D33" s="21"/>
      <c r="E33" s="16"/>
      <c r="F33" s="17"/>
      <c r="G33" s="18"/>
      <c r="H33" s="11" t="str">
        <f t="shared" si="0"/>
        <v/>
      </c>
      <c r="I33" s="120"/>
      <c r="J33" s="121"/>
      <c r="K33" s="121"/>
      <c r="L33" s="121"/>
      <c r="M33" s="121"/>
      <c r="N33" s="122"/>
    </row>
    <row r="34" spans="1:14" ht="20" customHeight="1">
      <c r="A34" s="12"/>
      <c r="B34" s="13"/>
      <c r="C34" s="20"/>
      <c r="D34" s="21"/>
      <c r="E34" s="16"/>
      <c r="F34" s="17"/>
      <c r="G34" s="18"/>
      <c r="H34" s="11" t="str">
        <f t="shared" si="0"/>
        <v/>
      </c>
      <c r="I34" s="120"/>
      <c r="J34" s="121"/>
      <c r="K34" s="121"/>
      <c r="L34" s="121"/>
      <c r="M34" s="121"/>
      <c r="N34" s="122"/>
    </row>
    <row r="35" spans="1:14" ht="20" customHeight="1">
      <c r="A35" s="12"/>
      <c r="B35" s="13"/>
      <c r="C35" s="20"/>
      <c r="D35" s="21"/>
      <c r="E35" s="16"/>
      <c r="F35" s="17"/>
      <c r="G35" s="25"/>
      <c r="H35" s="11" t="str">
        <f t="shared" si="0"/>
        <v/>
      </c>
      <c r="I35" s="117"/>
      <c r="J35" s="118"/>
      <c r="K35" s="118"/>
      <c r="L35" s="118"/>
      <c r="M35" s="118"/>
      <c r="N35" s="119"/>
    </row>
    <row r="36" spans="1:14" ht="20" customHeight="1" thickBot="1">
      <c r="A36" s="26"/>
      <c r="B36" s="27"/>
      <c r="C36" s="28"/>
      <c r="D36" s="29"/>
      <c r="E36" s="30"/>
      <c r="F36" s="31"/>
      <c r="G36" s="32"/>
      <c r="H36" s="33" t="str">
        <f t="shared" si="0"/>
        <v/>
      </c>
      <c r="I36" s="101"/>
      <c r="J36" s="102"/>
      <c r="K36" s="102"/>
      <c r="L36" s="102"/>
      <c r="M36" s="102"/>
      <c r="N36" s="103"/>
    </row>
    <row r="37" spans="1:14" ht="20" customHeight="1" thickTop="1">
      <c r="A37" s="85" t="s">
        <v>8</v>
      </c>
      <c r="B37" s="86"/>
      <c r="C37" s="87"/>
      <c r="D37" s="87"/>
      <c r="E37" s="87"/>
      <c r="F37" s="87"/>
      <c r="G37" s="87"/>
      <c r="H37" s="34">
        <f>SUM(H6:H36)</f>
        <v>0</v>
      </c>
      <c r="I37" s="104" t="s">
        <v>9</v>
      </c>
      <c r="J37" s="104"/>
      <c r="K37" s="104"/>
      <c r="L37" s="104"/>
      <c r="M37" s="105"/>
      <c r="N37" s="35">
        <f>ROUNDDOWN(ROUND(H37*24*60,1)/60,2)</f>
        <v>0</v>
      </c>
    </row>
    <row r="38" spans="1:14" ht="20" customHeight="1">
      <c r="A38" s="64"/>
      <c r="B38" s="65"/>
    </row>
    <row r="39" spans="1:14" ht="20" customHeight="1">
      <c r="A39" s="67"/>
      <c r="B39" s="65"/>
    </row>
    <row r="40" spans="1:14" ht="20" customHeight="1">
      <c r="A40" s="67"/>
      <c r="B40" s="65"/>
    </row>
    <row r="41" spans="1:14" ht="20" customHeight="1">
      <c r="A41" s="67"/>
      <c r="B41" s="65"/>
    </row>
    <row r="42" spans="1:14" ht="20" customHeight="1">
      <c r="A42" s="67"/>
      <c r="B42" s="65"/>
    </row>
  </sheetData>
  <mergeCells count="44">
    <mergeCell ref="I35:N35"/>
    <mergeCell ref="I36:N36"/>
    <mergeCell ref="A37:G37"/>
    <mergeCell ref="I37:M37"/>
    <mergeCell ref="I29:N29"/>
    <mergeCell ref="I30:N30"/>
    <mergeCell ref="I31:N31"/>
    <mergeCell ref="I32:N32"/>
    <mergeCell ref="I33:N33"/>
    <mergeCell ref="I34:N34"/>
    <mergeCell ref="I28:N28"/>
    <mergeCell ref="I17:N17"/>
    <mergeCell ref="I18:N18"/>
    <mergeCell ref="I19:N19"/>
    <mergeCell ref="I20:N20"/>
    <mergeCell ref="I21:N21"/>
    <mergeCell ref="I22:N22"/>
    <mergeCell ref="I23:N23"/>
    <mergeCell ref="I24:N24"/>
    <mergeCell ref="I25:N25"/>
    <mergeCell ref="I26:N26"/>
    <mergeCell ref="I27:N27"/>
    <mergeCell ref="I16:N16"/>
    <mergeCell ref="I4:N5"/>
    <mergeCell ref="I6:N6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A1:D1"/>
    <mergeCell ref="A2:C2"/>
    <mergeCell ref="D2:H2"/>
    <mergeCell ref="J2:N2"/>
    <mergeCell ref="O3:R3"/>
    <mergeCell ref="A4:A5"/>
    <mergeCell ref="B4:B5"/>
    <mergeCell ref="C4:F4"/>
    <mergeCell ref="G4:G5"/>
    <mergeCell ref="H4:H5"/>
  </mergeCells>
  <phoneticPr fontId="3"/>
  <conditionalFormatting sqref="A6:N36">
    <cfRule type="expression" dxfId="0" priority="1" stopIfTrue="1">
      <formula>OR($B6="土",$B6="日",$B6="祝",$B6="振",$I6="休日")</formula>
    </cfRule>
  </conditionalFormatting>
  <dataValidations count="2">
    <dataValidation type="time" allowBlank="1" showInputMessage="1" showErrorMessage="1" errorTitle="時刻を入力してください。" error="0:00から23:59までの時刻が入力できます。" sqref="E6:E36 C6:C36 G6:G36" xr:uid="{DF008CEE-BD21-4BF1-8465-F3274FB9A6D2}">
      <formula1>0</formula1>
      <formula2>0.999988425925926</formula2>
    </dataValidation>
    <dataValidation type="time" operator="greaterThan" allowBlank="1" showInputMessage="1" showErrorMessage="1" errorTitle="時刻を入力して下さい。" error="0:01以上の時刻を入力して下さい。" sqref="D6:D36 F6:F36" xr:uid="{5BCDC839-D76D-479B-9CDD-A414998CA7C0}">
      <formula1>0</formula1>
    </dataValidation>
  </dataValidations>
  <pageMargins left="0.62992125984251968" right="0.23622047244094488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活動日報（記載例）</vt:lpstr>
      <vt:lpstr>総括表_水色のセルを入力</vt:lpstr>
      <vt:lpstr>８月</vt:lpstr>
      <vt:lpstr>9月</vt:lpstr>
      <vt:lpstr>10月</vt:lpstr>
      <vt:lpstr>11月</vt:lpstr>
      <vt:lpstr>12月</vt:lpstr>
      <vt:lpstr>1月</vt:lpstr>
      <vt:lpstr>'10月'!Print_Area</vt:lpstr>
      <vt:lpstr>'11月'!Print_Area</vt:lpstr>
      <vt:lpstr>'12月'!Print_Area</vt:lpstr>
      <vt:lpstr>'1月'!Print_Area</vt:lpstr>
      <vt:lpstr>'８月'!Print_Area</vt:lpstr>
      <vt:lpstr>'9月'!Print_Area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渡邊 巨一</dc:creator>
  <cp:lastModifiedBy>李　弦チョル</cp:lastModifiedBy>
  <cp:lastPrinted>2024-06-06T04:50:44Z</cp:lastPrinted>
  <dcterms:created xsi:type="dcterms:W3CDTF">2024-06-06T03:29:29Z</dcterms:created>
  <dcterms:modified xsi:type="dcterms:W3CDTF">2025-12-04T09:01:52Z</dcterms:modified>
</cp:coreProperties>
</file>